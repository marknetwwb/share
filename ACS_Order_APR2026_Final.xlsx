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車輛司機備忘" sheetId="1" state="visible" r:id="rId1"/>
    <sheet xmlns:r="http://schemas.openxmlformats.org/officeDocument/2006/relationships" name="1APR2026" sheetId="2" state="visible" r:id="rId2"/>
    <sheet xmlns:r="http://schemas.openxmlformats.org/officeDocument/2006/relationships" name="2APR2026" sheetId="3" state="visible" r:id="rId3"/>
    <sheet xmlns:r="http://schemas.openxmlformats.org/officeDocument/2006/relationships" name="3APR2026" sheetId="4" state="visible" r:id="rId4"/>
    <sheet xmlns:r="http://schemas.openxmlformats.org/officeDocument/2006/relationships" name="4APR2026" sheetId="5" state="visible" r:id="rId5"/>
    <sheet xmlns:r="http://schemas.openxmlformats.org/officeDocument/2006/relationships" name="5APR2026" sheetId="6" state="visible" r:id="rId6"/>
    <sheet xmlns:r="http://schemas.openxmlformats.org/officeDocument/2006/relationships" name="6APR2026" sheetId="7" state="visible" r:id="rId7"/>
    <sheet xmlns:r="http://schemas.openxmlformats.org/officeDocument/2006/relationships" name="7APR2026" sheetId="8" state="visible" r:id="rId8"/>
    <sheet xmlns:r="http://schemas.openxmlformats.org/officeDocument/2006/relationships" name="8APR2026" sheetId="9" state="visible" r:id="rId9"/>
    <sheet xmlns:r="http://schemas.openxmlformats.org/officeDocument/2006/relationships" name="9APR2026" sheetId="10" state="visible" r:id="rId10"/>
    <sheet xmlns:r="http://schemas.openxmlformats.org/officeDocument/2006/relationships" name="10APR2026" sheetId="11" state="visible" r:id="rId11"/>
    <sheet xmlns:r="http://schemas.openxmlformats.org/officeDocument/2006/relationships" name="11APR2026" sheetId="12" state="visible" r:id="rId12"/>
    <sheet xmlns:r="http://schemas.openxmlformats.org/officeDocument/2006/relationships" name="12APR2026" sheetId="13" state="visible" r:id="rId13"/>
    <sheet xmlns:r="http://schemas.openxmlformats.org/officeDocument/2006/relationships" name="13APR2026" sheetId="14" state="visible" r:id="rId14"/>
    <sheet xmlns:r="http://schemas.openxmlformats.org/officeDocument/2006/relationships" name="14APR2026" sheetId="15" state="visible" r:id="rId15"/>
    <sheet xmlns:r="http://schemas.openxmlformats.org/officeDocument/2006/relationships" name="15APR2026" sheetId="16" state="visible" r:id="rId16"/>
    <sheet xmlns:r="http://schemas.openxmlformats.org/officeDocument/2006/relationships" name="16APR2026" sheetId="17" state="visible" r:id="rId17"/>
    <sheet xmlns:r="http://schemas.openxmlformats.org/officeDocument/2006/relationships" name="17APR2026" sheetId="18" state="visible" r:id="rId18"/>
    <sheet xmlns:r="http://schemas.openxmlformats.org/officeDocument/2006/relationships" name="18APR2026" sheetId="19" state="visible" r:id="rId19"/>
    <sheet xmlns:r="http://schemas.openxmlformats.org/officeDocument/2006/relationships" name="19APR2026" sheetId="20" state="visible" r:id="rId20"/>
    <sheet xmlns:r="http://schemas.openxmlformats.org/officeDocument/2006/relationships" name="20APR2026" sheetId="21" state="visible" r:id="rId21"/>
    <sheet xmlns:r="http://schemas.openxmlformats.org/officeDocument/2006/relationships" name="21APR2026" sheetId="22" state="visible" r:id="rId22"/>
    <sheet xmlns:r="http://schemas.openxmlformats.org/officeDocument/2006/relationships" name="22APR2026" sheetId="23" state="visible" r:id="rId23"/>
    <sheet xmlns:r="http://schemas.openxmlformats.org/officeDocument/2006/relationships" name="23APR2026" sheetId="24" state="visible" r:id="rId24"/>
    <sheet xmlns:r="http://schemas.openxmlformats.org/officeDocument/2006/relationships" name="24APR2026" sheetId="25" state="visible" r:id="rId25"/>
    <sheet xmlns:r="http://schemas.openxmlformats.org/officeDocument/2006/relationships" name="25APR2026" sheetId="26" state="visible" r:id="rId26"/>
    <sheet xmlns:r="http://schemas.openxmlformats.org/officeDocument/2006/relationships" name="26APR2026" sheetId="27" state="visible" r:id="rId27"/>
    <sheet xmlns:r="http://schemas.openxmlformats.org/officeDocument/2006/relationships" name="27APR2026" sheetId="28" state="visible" r:id="rId28"/>
    <sheet xmlns:r="http://schemas.openxmlformats.org/officeDocument/2006/relationships" name="28APR2026" sheetId="29" state="visible" r:id="rId29"/>
    <sheet xmlns:r="http://schemas.openxmlformats.org/officeDocument/2006/relationships" name="29APR2026" sheetId="30" state="visible" r:id="rId30"/>
    <sheet xmlns:r="http://schemas.openxmlformats.org/officeDocument/2006/relationships" name="30APR2026" sheetId="31" state="visible" r:id="rId31"/>
    <sheet xmlns:r="http://schemas.openxmlformats.org/officeDocument/2006/relationships" name="公數" sheetId="32" state="visible" r:id="rId32"/>
    <sheet xmlns:r="http://schemas.openxmlformats.org/officeDocument/2006/relationships" name="工作表1" sheetId="33" state="visible" r:id="rId33"/>
    <sheet xmlns:r="http://schemas.openxmlformats.org/officeDocument/2006/relationships" name="工作表2" sheetId="34" state="visible" r:id="rId34"/>
  </sheets>
  <definedNames>
    <definedName name="_xlnm._FilterDatabase" localSheetId="1" hidden="1">'1APR2026'!$B$1:$B$134</definedName>
    <definedName name="_xlnm._FilterDatabase" localSheetId="4" hidden="1">'4APR2026'!$A$1:$N$39</definedName>
    <definedName name="_xlnm._FilterDatabase" localSheetId="6" hidden="1">'6APR2026'!$A$1:$N$39</definedName>
    <definedName name="_xlnm._FilterDatabase" localSheetId="8" hidden="1">'8APR2026'!$A$1:$O$36</definedName>
    <definedName name="_xlnm._FilterDatabase" localSheetId="11" hidden="1">'11APR2026'!$A$1:$N$37</definedName>
    <definedName name="_xlnm._FilterDatabase" localSheetId="13" hidden="1">'13APR2026'!$A$1:$N$36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&quot;$&quot;#,##0;[Red]&quot;$&quot;#,##0"/>
    <numFmt numFmtId="165" formatCode="&quot;$&quot;#,##0"/>
    <numFmt numFmtId="166" formatCode="&quot;HK$&quot;#,##0.00_);[Red]\(&quot;HK$&quot;#,##0.00\)"/>
    <numFmt numFmtId="167" formatCode="0.0"/>
    <numFmt numFmtId="168" formatCode="h:mm;@"/>
    <numFmt numFmtId="169" formatCode="&quot;$&quot;#,##0_);[Red]\(&quot;$&quot;#,##0\)"/>
    <numFmt numFmtId="170" formatCode="&quot;US$&quot;#,##0_);[Red]\(&quot;US$&quot;#,##0\)"/>
  </numFmts>
  <fonts count="35">
    <font>
      <name val="新細明體"/>
      <family val="2"/>
      <color theme="1"/>
      <sz val="12"/>
      <scheme val="minor"/>
    </font>
    <font>
      <name val="宋体"/>
      <b val="1"/>
      <sz val="12"/>
    </font>
    <font>
      <name val="Arial"/>
      <family val="2"/>
      <color indexed="8"/>
      <sz val="11"/>
    </font>
    <font>
      <name val="Arial"/>
      <family val="2"/>
      <sz val="11"/>
    </font>
    <font>
      <name val="Arial"/>
      <family val="2"/>
      <color rgb="FF000000"/>
      <sz val="11"/>
    </font>
    <font>
      <name val="Arial"/>
      <family val="2"/>
      <b val="1"/>
      <sz val="12"/>
    </font>
    <font>
      <name val="宋体"/>
      <sz val="11"/>
    </font>
    <font>
      <name val="Arial"/>
      <family val="2"/>
      <color theme="1"/>
      <sz val="11"/>
    </font>
    <font>
      <name val="Arial"/>
      <family val="2"/>
      <sz val="12"/>
    </font>
    <font>
      <name val="宋体"/>
      <b val="1"/>
      <sz val="11"/>
    </font>
    <font>
      <name val="新細明體"/>
      <charset val="136"/>
      <family val="3"/>
      <sz val="9"/>
      <scheme val="minor"/>
    </font>
    <font>
      <name val="Arial"/>
      <family val="2"/>
      <color theme="1"/>
      <sz val="12"/>
    </font>
    <font>
      <name val="Arial"/>
      <family val="2"/>
      <color theme="1"/>
      <sz val="11"/>
    </font>
    <font>
      <name val="Arial"/>
      <family val="2"/>
      <color theme="1"/>
      <sz val="12"/>
    </font>
    <font>
      <name val="新細明體"/>
      <charset val="136"/>
      <family val="1"/>
      <color rgb="FF000000"/>
      <sz val="12"/>
    </font>
    <font>
      <name val="新細明體"/>
      <charset val="136"/>
      <family val="1"/>
      <b val="1"/>
      <color rgb="FF000000"/>
      <sz val="12"/>
    </font>
    <font>
      <name val="新細明體"/>
      <family val="2"/>
      <color rgb="FF000000"/>
      <sz val="12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color theme="1"/>
      <sz val="9"/>
    </font>
    <font>
      <name val="Arial"/>
      <family val="2"/>
      <color theme="1"/>
      <sz val="8"/>
    </font>
    <font>
      <name val="Arial"/>
      <family val="2"/>
      <sz val="8"/>
    </font>
    <font>
      <name val="新細明體"/>
      <charset val="136"/>
      <family val="1"/>
      <b val="1"/>
      <color rgb="FF000000"/>
      <sz val="12"/>
      <u val="single"/>
    </font>
    <font>
      <name val="新細明體"/>
      <family val="2"/>
      <color theme="1"/>
      <sz val="11"/>
      <scheme val="minor"/>
    </font>
    <font>
      <name val="Calibri"/>
      <family val="2"/>
      <b val="1"/>
      <color rgb="FF000000"/>
      <sz val="12"/>
    </font>
    <font>
      <name val="Calibri"/>
      <family val="2"/>
      <color rgb="FF000000"/>
      <sz val="12"/>
    </font>
    <font>
      <name val="新細明體"/>
      <family val="2"/>
      <b val="1"/>
      <color rgb="FF000000"/>
      <sz val="12"/>
    </font>
    <font>
      <name val="Microsoft JhengHei"/>
      <charset val="136"/>
      <family val="2"/>
      <color rgb="FF000000"/>
      <sz val="11"/>
    </font>
    <font>
      <name val="新細明體"/>
      <charset val="129"/>
      <family val="3"/>
      <b val="1"/>
      <color theme="1"/>
      <sz val="12"/>
      <scheme val="minor"/>
    </font>
    <font>
      <name val="新細明體"/>
      <charset val="136"/>
      <family val="1"/>
      <b val="1"/>
      <color rgb="FF000000"/>
      <sz val="12"/>
      <u val="single"/>
    </font>
    <font>
      <name val="微軟正黑體"/>
      <charset val="136"/>
      <family val="2"/>
      <color theme="1"/>
      <sz val="11"/>
    </font>
    <font>
      <name val="微軟正黑體"/>
      <charset val="136"/>
      <family val="2"/>
      <sz val="11"/>
    </font>
    <font>
      <name val="細明體"/>
      <charset val="136"/>
      <family val="2"/>
      <sz val="11"/>
    </font>
    <font>
      <name val="Arial"/>
      <charset val="136"/>
      <family val="2"/>
      <sz val="11"/>
    </font>
    <font>
      <name val="細明體"/>
      <charset val="136"/>
      <family val="2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0505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000000"/>
      </right>
      <top style="thin">
        <color rgb="FF000000"/>
      </top>
      <bottom style="thin">
        <color rgb="FF505050"/>
      </bottom>
      <diagonal/>
    </border>
    <border>
      <left style="thin">
        <color rgb="FF000000"/>
      </left>
      <right/>
      <top style="thin">
        <color rgb="FF000000"/>
      </top>
      <bottom style="thin">
        <color rgb="FF50505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36">
    <xf numFmtId="0" fontId="0" fillId="0" borderId="0" pivotButton="0" quotePrefix="0" xfId="0"/>
    <xf numFmtId="49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0" fillId="2" borderId="0" pivotButton="0" quotePrefix="0" xfId="0"/>
    <xf numFmtId="166" fontId="4" fillId="3" borderId="1" applyAlignment="1" pivotButton="0" quotePrefix="0" xfId="0">
      <alignment horizontal="center" vertical="center"/>
    </xf>
    <xf numFmtId="20" fontId="7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4" fillId="2" borderId="1" applyAlignment="1" pivotButton="0" quotePrefix="0" xfId="0">
      <alignment horizontal="center" vertical="center"/>
    </xf>
    <xf numFmtId="167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49" fontId="4" fillId="2" borderId="1" applyAlignment="1" pivotButton="0" quotePrefix="0" xfId="0">
      <alignment horizontal="center" vertical="center"/>
    </xf>
    <xf numFmtId="20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 wrapText="1"/>
    </xf>
    <xf numFmtId="20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/>
    </xf>
    <xf numFmtId="49" fontId="8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167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9" fillId="0" borderId="4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right"/>
    </xf>
    <xf numFmtId="165" fontId="0" fillId="0" borderId="0" pivotButton="0" quotePrefix="0" xfId="0"/>
    <xf numFmtId="168" fontId="8" fillId="0" borderId="0" pivotButton="0" quotePrefix="0" xfId="0"/>
    <xf numFmtId="168" fontId="0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0" fontId="2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4" fontId="3" fillId="3" borderId="3" applyAlignment="1" pivotButton="0" quotePrefix="0" xfId="0">
      <alignment horizontal="center" vertical="center"/>
    </xf>
    <xf numFmtId="49" fontId="3" fillId="3" borderId="1" applyAlignment="1" pivotButton="0" quotePrefix="0" xfId="0">
      <alignment horizontal="center" vertical="center"/>
    </xf>
    <xf numFmtId="20" fontId="3" fillId="3" borderId="1" applyAlignment="1" pivotButton="0" quotePrefix="0" xfId="0">
      <alignment horizontal="center" vertical="center"/>
    </xf>
    <xf numFmtId="49" fontId="3" fillId="3" borderId="1" applyAlignment="1" pivotButton="0" quotePrefix="0" xfId="0">
      <alignment horizontal="center" vertical="center" wrapText="1"/>
    </xf>
    <xf numFmtId="20" fontId="3" fillId="3" borderId="1" applyAlignment="1" pivotButton="0" quotePrefix="0" xfId="0">
      <alignment horizontal="center" vertical="center" wrapText="1"/>
    </xf>
    <xf numFmtId="169" fontId="3" fillId="3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2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20" fontId="2" fillId="2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3" fillId="2" borderId="3" applyAlignment="1" pivotButton="0" quotePrefix="0" xfId="0">
      <alignment horizontal="center" vertical="center"/>
    </xf>
    <xf numFmtId="169" fontId="3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 wrapText="1"/>
    </xf>
    <xf numFmtId="20" fontId="2" fillId="0" borderId="1" applyAlignment="1" pivotButton="0" quotePrefix="0" xfId="0">
      <alignment horizontal="center" vertical="center"/>
    </xf>
    <xf numFmtId="20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/>
    </xf>
    <xf numFmtId="168" fontId="2" fillId="3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49" fontId="7" fillId="2" borderId="5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166" fontId="2" fillId="2" borderId="5" applyAlignment="1" pivotButton="0" quotePrefix="0" xfId="0">
      <alignment horizontal="center" vertical="center"/>
    </xf>
    <xf numFmtId="166" fontId="2" fillId="2" borderId="2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49" fontId="4" fillId="2" borderId="0" applyAlignment="1" pivotButton="0" quotePrefix="0" xfId="0">
      <alignment horizontal="center" vertical="center"/>
    </xf>
    <xf numFmtId="2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20" fontId="2" fillId="0" borderId="0" applyAlignment="1" pivotButton="0" quotePrefix="0" xfId="0">
      <alignment horizontal="center" vertical="center"/>
    </xf>
    <xf numFmtId="167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49" fontId="4" fillId="2" borderId="0" applyAlignment="1" pivotButton="0" quotePrefix="0" xfId="0">
      <alignment horizontal="center" vertical="center" wrapText="1"/>
    </xf>
    <xf numFmtId="20" fontId="4" fillId="2" borderId="0" applyAlignment="1" pivotButton="0" quotePrefix="0" xfId="0">
      <alignment horizontal="center" vertical="center" wrapText="1"/>
    </xf>
    <xf numFmtId="166" fontId="4" fillId="2" borderId="0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6" fontId="2" fillId="0" borderId="5" applyAlignment="1" pivotButton="0" quotePrefix="0" xfId="0">
      <alignment horizontal="center" vertical="center"/>
    </xf>
    <xf numFmtId="49" fontId="7" fillId="3" borderId="1" applyAlignment="1" pivotButton="0" quotePrefix="0" xfId="0">
      <alignment horizontal="center" vertical="center" wrapText="1"/>
    </xf>
    <xf numFmtId="20" fontId="7" fillId="3" borderId="1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/>
    </xf>
    <xf numFmtId="167" fontId="4" fillId="3" borderId="1" applyAlignment="1" pivotButton="0" quotePrefix="0" xfId="0">
      <alignment horizontal="center" vertical="center"/>
    </xf>
    <xf numFmtId="166" fontId="4" fillId="3" borderId="5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2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166" fontId="4" fillId="2" borderId="0" applyAlignment="1" pivotButton="0" quotePrefix="0" xfId="0">
      <alignment horizontal="center" vertical="center" wrapText="1"/>
    </xf>
    <xf numFmtId="49" fontId="3" fillId="2" borderId="0" applyAlignment="1" pivotButton="0" quotePrefix="0" xfId="0">
      <alignment horizontal="center" vertical="center"/>
    </xf>
    <xf numFmtId="20" fontId="3" fillId="2" borderId="0" applyAlignment="1" pivotButton="0" quotePrefix="0" xfId="0">
      <alignment horizontal="center" vertical="center"/>
    </xf>
    <xf numFmtId="166" fontId="2" fillId="2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7" fontId="3" fillId="2" borderId="0" applyAlignment="1" pivotButton="0" quotePrefix="0" xfId="0">
      <alignment horizontal="center" vertical="center"/>
    </xf>
    <xf numFmtId="165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20" fontId="2" fillId="3" borderId="6" applyAlignment="1" pivotButton="0" quotePrefix="0" xfId="0">
      <alignment horizontal="center" vertical="center"/>
    </xf>
    <xf numFmtId="167" fontId="3" fillId="3" borderId="6" applyAlignment="1" pivotButton="0" quotePrefix="0" xfId="0">
      <alignment horizontal="center" vertical="center"/>
    </xf>
    <xf numFmtId="164" fontId="3" fillId="3" borderId="6" applyAlignment="1" pivotButton="0" quotePrefix="0" xfId="0">
      <alignment horizontal="center" vertical="center"/>
    </xf>
    <xf numFmtId="49" fontId="18" fillId="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20" fontId="3" fillId="3" borderId="6" applyAlignment="1" pivotButton="0" quotePrefix="0" xfId="0">
      <alignment horizontal="center" vertical="center" wrapText="1"/>
    </xf>
    <xf numFmtId="166" fontId="4" fillId="3" borderId="6" applyAlignment="1" pivotButton="0" quotePrefix="0" xfId="0">
      <alignment horizontal="center" vertical="center"/>
    </xf>
    <xf numFmtId="49" fontId="20" fillId="3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6" fillId="0" borderId="0" pivotButton="0" quotePrefix="0" xfId="0"/>
    <xf numFmtId="0" fontId="14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167" fontId="17" fillId="3" borderId="1" applyAlignment="1" pivotButton="0" quotePrefix="0" xfId="0">
      <alignment horizontal="center" vertical="center"/>
    </xf>
    <xf numFmtId="49" fontId="18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20" fontId="4" fillId="3" borderId="1" applyAlignment="1" pivotButton="0" quotePrefix="0" xfId="0">
      <alignment horizontal="center" vertical="center"/>
    </xf>
    <xf numFmtId="169" fontId="4" fillId="3" borderId="1" applyAlignment="1" pivotButton="0" quotePrefix="0" xfId="0">
      <alignment horizontal="center" vertical="center"/>
    </xf>
    <xf numFmtId="167" fontId="2" fillId="3" borderId="5" applyAlignment="1" pivotButton="0" quotePrefix="0" xfId="0">
      <alignment horizontal="center" vertical="center"/>
    </xf>
    <xf numFmtId="20" fontId="3" fillId="3" borderId="6" applyAlignment="1" pivotButton="0" quotePrefix="0" xfId="0">
      <alignment horizontal="center" vertical="center"/>
    </xf>
    <xf numFmtId="164" fontId="2" fillId="3" borderId="3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20" fontId="4" fillId="3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167" fontId="4" fillId="3" borderId="6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164" fontId="4" fillId="3" borderId="8" applyAlignment="1" pivotButton="0" quotePrefix="0" xfId="0">
      <alignment horizontal="center" vertical="center"/>
    </xf>
    <xf numFmtId="20" fontId="4" fillId="3" borderId="8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/>
    </xf>
    <xf numFmtId="20" fontId="4" fillId="3" borderId="8" applyAlignment="1" pivotButton="0" quotePrefix="0" xfId="0">
      <alignment horizontal="center" vertical="center"/>
    </xf>
    <xf numFmtId="167" fontId="4" fillId="3" borderId="8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9" fontId="3" fillId="3" borderId="6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3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/>
    </xf>
    <xf numFmtId="0" fontId="23" fillId="3" borderId="0" pivotButton="0" quotePrefix="0" xfId="0"/>
    <xf numFmtId="0" fontId="23" fillId="2" borderId="0" pivotButton="0" quotePrefix="0" xfId="0"/>
    <xf numFmtId="0" fontId="7" fillId="2" borderId="0" applyAlignment="1" pivotButton="0" quotePrefix="0" xfId="0">
      <alignment horizontal="center" vertical="center"/>
    </xf>
    <xf numFmtId="0" fontId="23" fillId="0" borderId="0" pivotButton="0" quotePrefix="0" xfId="0"/>
    <xf numFmtId="20" fontId="7" fillId="3" borderId="5" applyAlignment="1" pivotButton="0" quotePrefix="0" xfId="0">
      <alignment horizontal="center" vertical="center" wrapText="1"/>
    </xf>
    <xf numFmtId="49" fontId="7" fillId="3" borderId="5" applyAlignment="1" pivotButton="0" quotePrefix="0" xfId="0">
      <alignment horizontal="center" vertical="center" wrapText="1"/>
    </xf>
    <xf numFmtId="49" fontId="7" fillId="3" borderId="6" applyAlignment="1" pivotButton="0" quotePrefix="0" xfId="0">
      <alignment horizontal="center" vertical="center" wrapText="1"/>
    </xf>
    <xf numFmtId="167" fontId="21" fillId="3" borderId="1" applyAlignment="1" pivotButton="0" quotePrefix="0" xfId="0">
      <alignment horizontal="center" vertical="center"/>
    </xf>
    <xf numFmtId="0" fontId="3" fillId="3" borderId="7" applyAlignment="1" pivotButton="0" quotePrefix="0" xfId="0">
      <alignment horizontal="center" vertical="center"/>
    </xf>
    <xf numFmtId="49" fontId="4" fillId="3" borderId="6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4" fontId="4" fillId="3" borderId="5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166" fontId="4" fillId="3" borderId="10" applyAlignment="1" pivotButton="0" quotePrefix="0" xfId="0">
      <alignment horizontal="center" vertical="center"/>
    </xf>
    <xf numFmtId="49" fontId="4" fillId="3" borderId="5" applyAlignment="1" pivotButton="0" quotePrefix="0" xfId="0">
      <alignment horizontal="center" vertical="center" wrapText="1"/>
    </xf>
    <xf numFmtId="20" fontId="4" fillId="3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20" fontId="4" fillId="3" borderId="5" applyAlignment="1" pivotButton="0" quotePrefix="0" xfId="0">
      <alignment horizontal="center" vertical="center"/>
    </xf>
    <xf numFmtId="167" fontId="4" fillId="3" borderId="5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164" fontId="7" fillId="3" borderId="3" applyAlignment="1" pivotButton="0" quotePrefix="0" xfId="0">
      <alignment horizontal="center" vertical="center"/>
    </xf>
    <xf numFmtId="49" fontId="3" fillId="3" borderId="5" applyAlignment="1" pivotButton="0" quotePrefix="0" xfId="0">
      <alignment horizontal="center" vertical="center"/>
    </xf>
    <xf numFmtId="20" fontId="3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167" fontId="3" fillId="3" borderId="3" applyAlignment="1" pivotButton="0" quotePrefix="0" xfId="0">
      <alignment horizontal="center" vertical="center"/>
    </xf>
    <xf numFmtId="0" fontId="1" fillId="0" borderId="0" pivotButton="0" quotePrefix="0" xfId="0"/>
    <xf numFmtId="0" fontId="1" fillId="4" borderId="1" pivotButton="0" quotePrefix="0" xfId="0"/>
    <xf numFmtId="0" fontId="1" fillId="4" borderId="2" pivotButton="0" quotePrefix="0" xfId="0"/>
    <xf numFmtId="0" fontId="24" fillId="4" borderId="2" pivotButton="0" quotePrefix="0" xfId="0"/>
    <xf numFmtId="0" fontId="25" fillId="0" borderId="0" pivotButton="0" quotePrefix="0" xfId="0"/>
    <xf numFmtId="0" fontId="1" fillId="4" borderId="6" pivotButton="0" quotePrefix="0" xfId="0"/>
    <xf numFmtId="0" fontId="25" fillId="4" borderId="7" pivotButton="0" quotePrefix="0" xfId="0"/>
    <xf numFmtId="0" fontId="25" fillId="4" borderId="13" pivotButton="0" quotePrefix="0" xfId="0"/>
    <xf numFmtId="0" fontId="25" fillId="4" borderId="2" pivotButton="0" quotePrefix="0" xfId="0"/>
    <xf numFmtId="0" fontId="5" fillId="4" borderId="6" pivotButton="0" quotePrefix="0" xfId="0"/>
    <xf numFmtId="0" fontId="24" fillId="4" borderId="6" pivotButton="0" quotePrefix="0" xfId="0"/>
    <xf numFmtId="49" fontId="7" fillId="3" borderId="1" applyAlignment="1" pivotButton="0" quotePrefix="0" xfId="0">
      <alignment horizontal="center" vertical="center"/>
    </xf>
    <xf numFmtId="164" fontId="3" fillId="3" borderId="5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20" fontId="2" fillId="3" borderId="5" applyAlignment="1" pivotButton="0" quotePrefix="0" xfId="0">
      <alignment horizontal="center" vertical="center"/>
    </xf>
    <xf numFmtId="167" fontId="3" fillId="3" borderId="5" applyAlignment="1" pivotButton="0" quotePrefix="0" xfId="0">
      <alignment horizontal="center" vertical="center"/>
    </xf>
    <xf numFmtId="49" fontId="7" fillId="3" borderId="10" applyAlignment="1" pivotButton="0" quotePrefix="0" xfId="0">
      <alignment horizontal="center" vertical="center" wrapText="1"/>
    </xf>
    <xf numFmtId="0" fontId="3" fillId="3" borderId="14" applyAlignment="1" pivotButton="0" quotePrefix="0" xfId="0">
      <alignment horizontal="center" vertical="center"/>
    </xf>
    <xf numFmtId="0" fontId="3" fillId="3" borderId="15" applyAlignment="1" pivotButton="0" quotePrefix="0" xfId="0">
      <alignment horizontal="center" vertical="center"/>
    </xf>
    <xf numFmtId="20" fontId="7" fillId="3" borderId="6" applyAlignment="1" pivotButton="0" quotePrefix="0" xfId="0">
      <alignment horizontal="center" vertical="center"/>
    </xf>
    <xf numFmtId="164" fontId="3" fillId="3" borderId="9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64" fontId="3" fillId="3" borderId="2" applyAlignment="1" pivotButton="0" quotePrefix="0" xfId="0">
      <alignment horizontal="center" vertical="center"/>
    </xf>
    <xf numFmtId="169" fontId="3" fillId="3" borderId="6" applyAlignment="1" pivotButton="0" quotePrefix="0" xfId="0">
      <alignment horizontal="center" vertical="center"/>
    </xf>
    <xf numFmtId="49" fontId="3" fillId="3" borderId="5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20" fontId="3" fillId="3" borderId="5" applyAlignment="1" pivotButton="0" quotePrefix="0" xfId="0">
      <alignment horizontal="center" vertical="center" wrapText="1"/>
    </xf>
    <xf numFmtId="20" fontId="4" fillId="3" borderId="1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3" fillId="3" borderId="8" applyAlignment="1" pivotButton="0" quotePrefix="0" xfId="0">
      <alignment horizontal="center" vertical="center"/>
    </xf>
    <xf numFmtId="169" fontId="3" fillId="3" borderId="5" applyAlignment="1" pivotButton="0" quotePrefix="0" xfId="0">
      <alignment horizontal="center" vertical="center"/>
    </xf>
    <xf numFmtId="169" fontId="3" fillId="3" borderId="8" applyAlignment="1" pivotButton="0" quotePrefix="0" xfId="0">
      <alignment horizontal="center" vertical="center"/>
    </xf>
    <xf numFmtId="167" fontId="3" fillId="3" borderId="8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 wrapText="1"/>
    </xf>
    <xf numFmtId="0" fontId="8" fillId="3" borderId="1" pivotButton="0" quotePrefix="0" xfId="0"/>
    <xf numFmtId="49" fontId="4" fillId="3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 wrapText="1"/>
    </xf>
    <xf numFmtId="49" fontId="8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horizontal="right"/>
    </xf>
    <xf numFmtId="167" fontId="8" fillId="3" borderId="0" pivotButton="0" quotePrefix="0" xfId="0"/>
    <xf numFmtId="165" fontId="8" fillId="3" borderId="0" pivotButton="0" quotePrefix="0" xfId="0"/>
    <xf numFmtId="164" fontId="8" fillId="3" borderId="0" pivotButton="0" quotePrefix="0" xfId="0"/>
    <xf numFmtId="164" fontId="9" fillId="3" borderId="4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4" fontId="0" fillId="3" borderId="0" pivotButton="0" quotePrefix="0" xfId="0"/>
    <xf numFmtId="49" fontId="0" fillId="3" borderId="0" pivotButton="0" quotePrefix="0" xfId="0"/>
    <xf numFmtId="0" fontId="0" fillId="3" borderId="0" applyAlignment="1" pivotButton="0" quotePrefix="0" xfId="0">
      <alignment horizontal="right"/>
    </xf>
    <xf numFmtId="165" fontId="0" fillId="3" borderId="0" pivotButton="0" quotePrefix="0" xfId="0"/>
    <xf numFmtId="20" fontId="7" fillId="3" borderId="6" applyAlignment="1" pivotButton="0" quotePrefix="0" xfId="0">
      <alignment horizontal="center" vertical="center" wrapText="1"/>
    </xf>
    <xf numFmtId="20" fontId="2" fillId="3" borderId="8" applyAlignment="1" pivotButton="0" quotePrefix="0" xfId="0">
      <alignment horizontal="center" vertical="center"/>
    </xf>
    <xf numFmtId="164" fontId="3" fillId="3" borderId="8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20" fontId="7" fillId="3" borderId="16" applyAlignment="1" pivotButton="0" quotePrefix="0" xfId="0">
      <alignment horizontal="center" vertical="center" wrapText="1"/>
    </xf>
    <xf numFmtId="166" fontId="4" fillId="3" borderId="2" applyAlignment="1" pivotButton="0" quotePrefix="0" xfId="0">
      <alignment horizontal="center" vertical="center"/>
    </xf>
    <xf numFmtId="166" fontId="4" fillId="3" borderId="14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49" fontId="3" fillId="3" borderId="3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7" fillId="3" borderId="5" applyAlignment="1" pivotButton="0" quotePrefix="0" xfId="0">
      <alignment horizontal="center" vertical="center"/>
    </xf>
    <xf numFmtId="20" fontId="7" fillId="3" borderId="5" applyAlignment="1" pivotButton="0" quotePrefix="0" xfId="0">
      <alignment horizontal="center" vertical="center"/>
    </xf>
    <xf numFmtId="166" fontId="2" fillId="3" borderId="5" applyAlignment="1" pivotButton="0" quotePrefix="0" xfId="0">
      <alignment horizontal="center" vertical="center"/>
    </xf>
    <xf numFmtId="167" fontId="4" fillId="3" borderId="16" applyAlignment="1" pivotButton="0" quotePrefix="0" xfId="0">
      <alignment horizontal="center" vertical="center"/>
    </xf>
    <xf numFmtId="20" fontId="3" fillId="3" borderId="10" applyAlignment="1" pivotButton="0" quotePrefix="0" xfId="0">
      <alignment horizontal="center" vertical="center"/>
    </xf>
    <xf numFmtId="0" fontId="7" fillId="3" borderId="10" applyAlignment="1" pivotButton="0" quotePrefix="0" xfId="0">
      <alignment horizontal="center" vertical="center"/>
    </xf>
    <xf numFmtId="20" fontId="4" fillId="3" borderId="14" applyAlignment="1" pivotButton="0" quotePrefix="0" xfId="0">
      <alignment horizontal="center" vertical="center"/>
    </xf>
    <xf numFmtId="20" fontId="2" fillId="3" borderId="7" applyAlignment="1" pivotButton="0" quotePrefix="0" xfId="0">
      <alignment horizontal="center" vertical="center"/>
    </xf>
    <xf numFmtId="165" fontId="3" fillId="3" borderId="6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166" fontId="4" fillId="3" borderId="3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20" fontId="3" fillId="3" borderId="17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11" fillId="0" borderId="0" pivotButton="0" quotePrefix="0" xfId="0"/>
    <xf numFmtId="0" fontId="0" fillId="0" borderId="1" pivotButton="0" quotePrefix="0" xfId="0"/>
    <xf numFmtId="166" fontId="7" fillId="3" borderId="1" applyAlignment="1" pivotButton="0" quotePrefix="0" xfId="0">
      <alignment horizontal="center" vertical="center"/>
    </xf>
    <xf numFmtId="165" fontId="7" fillId="3" borderId="1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165" fontId="4" fillId="2" borderId="5" applyAlignment="1" pivotButton="0" quotePrefix="0" xfId="0">
      <alignment horizontal="center" vertical="center"/>
    </xf>
    <xf numFmtId="164" fontId="4" fillId="2" borderId="5" applyAlignment="1" pivotButton="0" quotePrefix="0" xfId="0">
      <alignment horizontal="center" vertical="center"/>
    </xf>
    <xf numFmtId="164" fontId="3" fillId="2" borderId="5" applyAlignment="1" pivotButton="0" quotePrefix="0" xfId="0">
      <alignment horizontal="center" vertical="center"/>
    </xf>
    <xf numFmtId="165" fontId="3" fillId="2" borderId="18" applyAlignment="1" pivotButton="0" quotePrefix="0" xfId="0">
      <alignment horizontal="center" vertical="center"/>
    </xf>
    <xf numFmtId="164" fontId="3" fillId="2" borderId="18" applyAlignment="1" pivotButton="0" quotePrefix="0" xfId="0">
      <alignment horizontal="center" vertical="center"/>
    </xf>
    <xf numFmtId="164" fontId="3" fillId="3" borderId="18" applyAlignment="1" pivotButton="0" quotePrefix="0" xfId="0">
      <alignment horizontal="center" vertical="center"/>
    </xf>
    <xf numFmtId="49" fontId="4" fillId="3" borderId="8" applyAlignment="1" pivotButton="0" quotePrefix="0" xfId="0">
      <alignment horizontal="center" vertical="center" wrapText="1"/>
    </xf>
    <xf numFmtId="20" fontId="0" fillId="0" borderId="0" pivotButton="0" quotePrefix="0" xfId="0"/>
    <xf numFmtId="167" fontId="3" fillId="3" borderId="3" applyAlignment="1" pivotButton="0" quotePrefix="0" xfId="0">
      <alignment horizontal="center" vertical="center" wrapText="1"/>
    </xf>
    <xf numFmtId="166" fontId="4" fillId="3" borderId="8" applyAlignment="1" pivotButton="0" quotePrefix="0" xfId="0">
      <alignment horizontal="center" vertical="center"/>
    </xf>
    <xf numFmtId="167" fontId="4" fillId="3" borderId="12" applyAlignment="1" pivotButton="0" quotePrefix="0" xfId="0">
      <alignment horizontal="center" vertical="center"/>
    </xf>
    <xf numFmtId="0" fontId="27" fillId="0" borderId="0" applyAlignment="1" pivotButton="0" quotePrefix="0" xfId="0">
      <alignment wrapText="1"/>
    </xf>
    <xf numFmtId="170" fontId="27" fillId="0" borderId="0" applyAlignment="1" pivotButton="0" quotePrefix="0" xfId="0">
      <alignment wrapText="1"/>
    </xf>
    <xf numFmtId="166" fontId="4" fillId="3" borderId="11" applyAlignment="1" pivotButton="0" quotePrefix="0" xfId="0">
      <alignment horizontal="center" vertical="center"/>
    </xf>
    <xf numFmtId="169" fontId="3" fillId="3" borderId="7" applyAlignment="1" pivotButton="0" quotePrefix="0" xfId="0">
      <alignment horizontal="center" vertical="center"/>
    </xf>
    <xf numFmtId="20" fontId="3" fillId="3" borderId="2" applyAlignment="1" pivotButton="0" quotePrefix="0" xfId="0">
      <alignment horizontal="center" vertical="center"/>
    </xf>
    <xf numFmtId="49" fontId="7" fillId="3" borderId="2" applyAlignment="1" pivotButton="0" quotePrefix="0" xfId="0">
      <alignment horizontal="center" vertical="center" wrapText="1"/>
    </xf>
    <xf numFmtId="49" fontId="7" fillId="2" borderId="2" applyAlignment="1" pivotButton="0" quotePrefix="0" xfId="0">
      <alignment horizontal="center" vertical="center" wrapText="1"/>
    </xf>
    <xf numFmtId="49" fontId="3" fillId="3" borderId="2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 wrapText="1"/>
    </xf>
    <xf numFmtId="49" fontId="3" fillId="2" borderId="2" applyAlignment="1" pivotButton="0" quotePrefix="0" xfId="0">
      <alignment horizontal="center" vertical="center"/>
    </xf>
    <xf numFmtId="49" fontId="4" fillId="2" borderId="2" applyAlignment="1" pivotButton="0" quotePrefix="0" xfId="0">
      <alignment horizontal="center" vertical="center"/>
    </xf>
    <xf numFmtId="49" fontId="4" fillId="2" borderId="2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/>
    </xf>
    <xf numFmtId="49" fontId="7" fillId="2" borderId="19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166" fontId="2" fillId="2" borderId="19" applyAlignment="1" pivotButton="0" quotePrefix="0" xfId="0">
      <alignment horizontal="center" vertical="center"/>
    </xf>
    <xf numFmtId="166" fontId="2" fillId="0" borderId="19" applyAlignment="1" pivotButton="0" quotePrefix="0" xfId="0">
      <alignment horizontal="center" vertical="center"/>
    </xf>
    <xf numFmtId="167" fontId="2" fillId="0" borderId="19" applyAlignment="1" pivotButton="0" quotePrefix="0" xfId="0">
      <alignment horizontal="center" vertical="center"/>
    </xf>
    <xf numFmtId="165" fontId="2" fillId="0" borderId="19" applyAlignment="1" pivotButton="0" quotePrefix="0" xfId="0">
      <alignment horizontal="center" vertical="center"/>
    </xf>
    <xf numFmtId="164" fontId="2" fillId="0" borderId="19" applyAlignment="1" pivotButton="0" quotePrefix="0" xfId="0">
      <alignment horizontal="center" vertical="center"/>
    </xf>
    <xf numFmtId="49" fontId="4" fillId="3" borderId="19" applyAlignment="1" pivotButton="0" quotePrefix="0" xfId="0">
      <alignment horizontal="center" vertical="center" wrapText="1"/>
    </xf>
    <xf numFmtId="20" fontId="4" fillId="3" borderId="19" applyAlignment="1" pivotButton="0" quotePrefix="0" xfId="0">
      <alignment horizontal="center" vertical="center" wrapText="1"/>
    </xf>
    <xf numFmtId="0" fontId="4" fillId="3" borderId="19" applyAlignment="1" pivotButton="0" quotePrefix="0" xfId="0">
      <alignment horizontal="center" vertical="center" wrapText="1"/>
    </xf>
    <xf numFmtId="166" fontId="4" fillId="3" borderId="19" applyAlignment="1" pivotButton="0" quotePrefix="0" xfId="0">
      <alignment horizontal="center" vertical="center"/>
    </xf>
    <xf numFmtId="20" fontId="4" fillId="3" borderId="19" applyAlignment="1" pivotButton="0" quotePrefix="0" xfId="0">
      <alignment horizontal="center" vertical="center"/>
    </xf>
    <xf numFmtId="167" fontId="4" fillId="3" borderId="19" applyAlignment="1" pivotButton="0" quotePrefix="0" xfId="0">
      <alignment horizontal="center" vertical="center"/>
    </xf>
    <xf numFmtId="164" fontId="7" fillId="3" borderId="19" applyAlignment="1" pivotButton="0" quotePrefix="0" xfId="0">
      <alignment horizontal="center" vertical="center"/>
    </xf>
    <xf numFmtId="164" fontId="3" fillId="3" borderId="19" applyAlignment="1" pivotButton="0" quotePrefix="0" xfId="0">
      <alignment horizontal="center" vertical="center"/>
    </xf>
    <xf numFmtId="0" fontId="4" fillId="3" borderId="19" applyAlignment="1" pivotButton="0" quotePrefix="0" xfId="0">
      <alignment horizontal="center" vertical="center"/>
    </xf>
    <xf numFmtId="166" fontId="7" fillId="3" borderId="19" applyAlignment="1" pivotButton="0" quotePrefix="0" xfId="0">
      <alignment horizontal="center" vertical="center"/>
    </xf>
    <xf numFmtId="0" fontId="7" fillId="3" borderId="19" applyAlignment="1" pivotButton="0" quotePrefix="0" xfId="0">
      <alignment horizontal="center" vertical="center"/>
    </xf>
    <xf numFmtId="20" fontId="7" fillId="3" borderId="19" applyAlignment="1" pivotButton="0" quotePrefix="0" xfId="0">
      <alignment horizontal="center" vertical="center"/>
    </xf>
    <xf numFmtId="167" fontId="7" fillId="3" borderId="19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67" fontId="3" fillId="3" borderId="19" applyAlignment="1" pivotButton="0" quotePrefix="0" xfId="0">
      <alignment horizontal="center" vertical="center"/>
    </xf>
    <xf numFmtId="49" fontId="3" fillId="3" borderId="19" applyAlignment="1" pivotButton="0" quotePrefix="0" xfId="0">
      <alignment horizontal="center" vertical="center"/>
    </xf>
    <xf numFmtId="20" fontId="3" fillId="3" borderId="19" applyAlignment="1" pivotButton="0" quotePrefix="0" xfId="0">
      <alignment horizontal="center" vertical="center"/>
    </xf>
    <xf numFmtId="20" fontId="2" fillId="3" borderId="19" applyAlignment="1" pivotButton="0" quotePrefix="0" xfId="0">
      <alignment horizontal="center" vertical="center"/>
    </xf>
    <xf numFmtId="169" fontId="3" fillId="3" borderId="19" applyAlignment="1" pivotButton="0" quotePrefix="0" xfId="0">
      <alignment horizontal="center" vertical="center"/>
    </xf>
    <xf numFmtId="165" fontId="3" fillId="3" borderId="19" applyAlignment="1" pivotButton="0" quotePrefix="0" xfId="0">
      <alignment horizontal="center" vertical="center"/>
    </xf>
    <xf numFmtId="49" fontId="3" fillId="3" borderId="19" applyAlignment="1" pivotButton="0" quotePrefix="0" xfId="0">
      <alignment horizontal="center" vertical="center" wrapText="1"/>
    </xf>
    <xf numFmtId="20" fontId="3" fillId="3" borderId="19" applyAlignment="1" pivotButton="0" quotePrefix="0" xfId="0">
      <alignment horizontal="center" vertical="center" wrapText="1"/>
    </xf>
    <xf numFmtId="49" fontId="3" fillId="2" borderId="19" applyAlignment="1" pivotButton="0" quotePrefix="0" xfId="0">
      <alignment horizontal="center" vertical="center"/>
    </xf>
    <xf numFmtId="20" fontId="3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/>
    </xf>
    <xf numFmtId="20" fontId="2" fillId="2" borderId="19" applyAlignment="1" pivotButton="0" quotePrefix="0" xfId="0">
      <alignment horizontal="center" vertical="center"/>
    </xf>
    <xf numFmtId="167" fontId="3" fillId="2" borderId="19" applyAlignment="1" pivotButton="0" quotePrefix="0" xfId="0">
      <alignment horizontal="center" vertical="center"/>
    </xf>
    <xf numFmtId="165" fontId="3" fillId="2" borderId="19" applyAlignment="1" pivotButton="0" quotePrefix="0" xfId="0">
      <alignment horizontal="center" vertical="center"/>
    </xf>
    <xf numFmtId="164" fontId="3" fillId="2" borderId="19" applyAlignment="1" pivotButton="0" quotePrefix="0" xfId="0">
      <alignment horizontal="center" vertical="center"/>
    </xf>
    <xf numFmtId="49" fontId="7" fillId="3" borderId="19" applyAlignment="1" pivotButton="0" quotePrefix="0" xfId="0">
      <alignment horizontal="center" vertical="center" wrapText="1"/>
    </xf>
    <xf numFmtId="166" fontId="4" fillId="2" borderId="19" applyAlignment="1" pivotButton="0" quotePrefix="0" xfId="0">
      <alignment horizontal="center" vertical="center"/>
    </xf>
    <xf numFmtId="169" fontId="3" fillId="2" borderId="19" applyAlignment="1" pivotButton="0" quotePrefix="0" xfId="0">
      <alignment horizontal="center" vertical="center"/>
    </xf>
    <xf numFmtId="49" fontId="3" fillId="2" borderId="19" applyAlignment="1" pivotButton="0" quotePrefix="0" xfId="0">
      <alignment horizontal="center" vertical="center" wrapText="1"/>
    </xf>
    <xf numFmtId="166" fontId="2" fillId="3" borderId="19" applyAlignment="1" pivotButton="0" quotePrefix="0" xfId="0">
      <alignment horizontal="center" vertical="center" wrapText="1"/>
    </xf>
    <xf numFmtId="20" fontId="7" fillId="2" borderId="19" applyAlignment="1" pivotButton="0" quotePrefix="0" xfId="0">
      <alignment horizontal="center" vertical="center" wrapText="1"/>
    </xf>
    <xf numFmtId="20" fontId="2" fillId="0" borderId="19" applyAlignment="1" pivotButton="0" quotePrefix="0" xfId="0">
      <alignment horizontal="center" vertical="center"/>
    </xf>
    <xf numFmtId="20" fontId="3" fillId="2" borderId="19" applyAlignment="1" pivotButton="0" quotePrefix="0" xfId="0">
      <alignment horizontal="center" vertical="center"/>
    </xf>
    <xf numFmtId="166" fontId="3" fillId="2" borderId="19" applyAlignment="1" pivotButton="0" quotePrefix="0" xfId="0">
      <alignment horizontal="center" vertical="center" wrapText="1"/>
    </xf>
    <xf numFmtId="166" fontId="3" fillId="2" borderId="19" applyAlignment="1" pivotButton="0" quotePrefix="0" xfId="0">
      <alignment horizontal="center" vertical="center"/>
    </xf>
    <xf numFmtId="0" fontId="8" fillId="2" borderId="19" pivotButton="0" quotePrefix="0" xfId="0"/>
    <xf numFmtId="0" fontId="4" fillId="2" borderId="19" applyAlignment="1" pivotButton="0" quotePrefix="0" xfId="0">
      <alignment horizontal="center" vertical="center"/>
    </xf>
    <xf numFmtId="167" fontId="4" fillId="2" borderId="19" applyAlignment="1" pivotButton="0" quotePrefix="0" xfId="0">
      <alignment horizontal="center" vertical="center"/>
    </xf>
    <xf numFmtId="165" fontId="4" fillId="2" borderId="19" applyAlignment="1" pivotButton="0" quotePrefix="0" xfId="0">
      <alignment horizontal="center" vertical="center"/>
    </xf>
    <xf numFmtId="164" fontId="4" fillId="2" borderId="19" applyAlignment="1" pivotButton="0" quotePrefix="0" xfId="0">
      <alignment horizontal="center" vertical="center"/>
    </xf>
    <xf numFmtId="49" fontId="4" fillId="2" borderId="19" applyAlignment="1" pivotButton="0" quotePrefix="0" xfId="0">
      <alignment horizontal="center" vertical="center"/>
    </xf>
    <xf numFmtId="20" fontId="4" fillId="2" borderId="19" applyAlignment="1" pivotButton="0" quotePrefix="0" xfId="0">
      <alignment horizontal="center" vertical="center"/>
    </xf>
    <xf numFmtId="166" fontId="4" fillId="2" borderId="19" applyAlignment="1" pivotButton="0" quotePrefix="0" xfId="0">
      <alignment horizontal="center" vertical="center" wrapText="1"/>
    </xf>
    <xf numFmtId="164" fontId="4" fillId="2" borderId="3" applyAlignment="1" pivotButton="0" quotePrefix="0" xfId="0">
      <alignment horizontal="center" vertical="center"/>
    </xf>
    <xf numFmtId="164" fontId="3" fillId="2" borderId="20" applyAlignment="1" pivotButton="0" quotePrefix="0" xfId="0">
      <alignment horizontal="center" vertical="center"/>
    </xf>
    <xf numFmtId="164" fontId="3" fillId="3" borderId="20" applyAlignment="1" pivotButton="0" quotePrefix="0" xfId="0">
      <alignment horizontal="center" vertical="center"/>
    </xf>
    <xf numFmtId="164" fontId="9" fillId="0" borderId="21" applyAlignment="1" pivotButton="0" quotePrefix="0" xfId="0">
      <alignment horizontal="center" vertical="center"/>
    </xf>
    <xf numFmtId="164" fontId="3" fillId="3" borderId="22" applyAlignment="1" pivotButton="0" quotePrefix="0" xfId="0">
      <alignment horizontal="center" vertical="center"/>
    </xf>
    <xf numFmtId="167" fontId="3" fillId="3" borderId="7" applyAlignment="1" pivotButton="0" quotePrefix="0" xfId="0">
      <alignment horizontal="center" vertical="center"/>
    </xf>
    <xf numFmtId="164" fontId="3" fillId="3" borderId="23" applyAlignment="1" pivotButton="0" quotePrefix="0" xfId="0">
      <alignment horizontal="center" vertical="center"/>
    </xf>
    <xf numFmtId="0" fontId="0" fillId="0" borderId="0" pivotButton="0" quotePrefix="1" xfId="0"/>
    <xf numFmtId="0" fontId="28" fillId="0" borderId="0" pivotButton="0" quotePrefix="0" xfId="0"/>
    <xf numFmtId="0" fontId="29" fillId="0" borderId="0" pivotButton="0" quotePrefix="0" xfId="0"/>
    <xf numFmtId="16" fontId="16" fillId="0" borderId="0" pivotButton="0" quotePrefix="0" xfId="0"/>
    <xf numFmtId="166" fontId="4" fillId="3" borderId="7" applyAlignment="1" pivotButton="0" quotePrefix="0" xfId="0">
      <alignment horizontal="center" vertical="center"/>
    </xf>
    <xf numFmtId="49" fontId="7" fillId="3" borderId="3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165" fontId="3" fillId="2" borderId="1" applyAlignment="1" pivotButton="0" quotePrefix="1" xfId="0">
      <alignment horizontal="center" vertical="center"/>
    </xf>
    <xf numFmtId="20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/>
    </xf>
    <xf numFmtId="167" fontId="7" fillId="3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49" fontId="7" fillId="3" borderId="14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4" borderId="2" pivotButton="0" quotePrefix="0" xfId="0"/>
    <xf numFmtId="20" fontId="3" fillId="4" borderId="2" pivotButton="0" quotePrefix="0" xfId="0"/>
    <xf numFmtId="0" fontId="4" fillId="4" borderId="2" pivotButton="0" quotePrefix="0" xfId="0"/>
    <xf numFmtId="20" fontId="4" fillId="0" borderId="2" pivotButton="0" quotePrefix="0" xfId="0"/>
    <xf numFmtId="0" fontId="3" fillId="2" borderId="5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49" fontId="4" fillId="2" borderId="5" applyAlignment="1" pivotButton="0" quotePrefix="0" xfId="0">
      <alignment horizontal="center" vertical="center"/>
    </xf>
    <xf numFmtId="20" fontId="4" fillId="2" borderId="5" applyAlignment="1" pivotButton="0" quotePrefix="0" xfId="0">
      <alignment horizontal="center" vertical="center"/>
    </xf>
    <xf numFmtId="49" fontId="8" fillId="0" borderId="19" pivotButton="0" quotePrefix="0" xfId="0"/>
    <xf numFmtId="0" fontId="8" fillId="0" borderId="19" pivotButton="0" quotePrefix="0" xfId="0"/>
    <xf numFmtId="49" fontId="0" fillId="0" borderId="19" pivotButton="0" quotePrefix="0" xfId="0"/>
    <xf numFmtId="0" fontId="0" fillId="0" borderId="19" pivotButton="0" quotePrefix="0" xfId="0"/>
    <xf numFmtId="0" fontId="22" fillId="0" borderId="0" applyAlignment="1" pivotButton="0" quotePrefix="0" xfId="0">
      <alignment wrapText="1"/>
    </xf>
    <xf numFmtId="0" fontId="0" fillId="0" borderId="0" pivotButton="0" quotePrefix="0" xfId="0"/>
    <xf numFmtId="167" fontId="32" fillId="3" borderId="3" applyAlignment="1" pivotButton="0" quotePrefix="0" xfId="0">
      <alignment horizontal="center" vertical="center"/>
    </xf>
    <xf numFmtId="165" fontId="3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center" vertical="center"/>
    </xf>
    <xf numFmtId="170" fontId="27" fillId="0" borderId="0" applyAlignment="1" pivotButton="0" quotePrefix="0" xfId="0">
      <alignment wrapText="1"/>
    </xf>
    <xf numFmtId="165" fontId="0" fillId="0" borderId="0" pivotButton="0" quotePrefix="0" xfId="0"/>
    <xf numFmtId="164" fontId="0" fillId="0" borderId="0" pivotButton="0" quotePrefix="0" xfId="0"/>
    <xf numFmtId="166" fontId="2" fillId="2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7" fontId="3" fillId="3" borderId="3" applyAlignment="1" pivotButton="0" quotePrefix="0" xfId="0">
      <alignment horizontal="center" vertical="center"/>
    </xf>
    <xf numFmtId="167" fontId="3" fillId="3" borderId="6" applyAlignment="1" pivotButton="0" quotePrefix="0" xfId="0">
      <alignment horizontal="center" vertical="center"/>
    </xf>
    <xf numFmtId="164" fontId="3" fillId="3" borderId="5" applyAlignment="1" pivotButton="0" quotePrefix="0" xfId="0">
      <alignment horizontal="center" vertical="center"/>
    </xf>
    <xf numFmtId="164" fontId="3" fillId="3" borderId="3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164" fontId="3" fillId="3" borderId="9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9" fontId="3" fillId="3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 wrapText="1"/>
    </xf>
    <xf numFmtId="169" fontId="3" fillId="2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/>
    </xf>
    <xf numFmtId="165" fontId="4" fillId="2" borderId="5" applyAlignment="1" pivotButton="0" quotePrefix="0" xfId="0">
      <alignment horizontal="center" vertical="center"/>
    </xf>
    <xf numFmtId="164" fontId="4" fillId="2" borderId="5" applyAlignment="1" pivotButton="0" quotePrefix="0" xfId="0">
      <alignment horizontal="center" vertical="center"/>
    </xf>
    <xf numFmtId="164" fontId="3" fillId="2" borderId="5" applyAlignment="1" pivotButton="0" quotePrefix="0" xfId="0">
      <alignment horizontal="center" vertical="center"/>
    </xf>
    <xf numFmtId="167" fontId="8" fillId="0" borderId="0" pivotButton="0" quotePrefix="0" xfId="0"/>
    <xf numFmtId="165" fontId="3" fillId="2" borderId="18" applyAlignment="1" pivotButton="0" quotePrefix="0" xfId="0">
      <alignment horizontal="center" vertical="center"/>
    </xf>
    <xf numFmtId="164" fontId="3" fillId="2" borderId="18" applyAlignment="1" pivotButton="0" quotePrefix="0" xfId="0">
      <alignment horizontal="center" vertical="center"/>
    </xf>
    <xf numFmtId="164" fontId="3" fillId="3" borderId="18" applyAlignment="1" pivotButton="0" quotePrefix="0" xfId="0">
      <alignment horizontal="center" vertical="center"/>
    </xf>
    <xf numFmtId="165" fontId="8" fillId="0" borderId="0" pivotButton="0" quotePrefix="0" xfId="0"/>
    <xf numFmtId="164" fontId="8" fillId="0" borderId="0" pivotButton="0" quotePrefix="0" xfId="0"/>
    <xf numFmtId="164" fontId="3" fillId="3" borderId="0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7" fontId="32" fillId="3" borderId="3" applyAlignment="1" pivotButton="0" quotePrefix="0" xfId="0">
      <alignment horizontal="center" vertical="center"/>
    </xf>
    <xf numFmtId="165" fontId="32" fillId="3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164" fontId="7" fillId="3" borderId="3" applyAlignment="1" pivotButton="0" quotePrefix="0" xfId="0">
      <alignment horizontal="center" vertical="center"/>
    </xf>
    <xf numFmtId="166" fontId="4" fillId="2" borderId="0" applyAlignment="1" pivotButton="0" quotePrefix="0" xfId="0">
      <alignment horizontal="center" vertical="center" wrapText="1"/>
    </xf>
    <xf numFmtId="167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3" fillId="2" borderId="3" applyAlignment="1" pivotButton="0" quotePrefix="0" xfId="0">
      <alignment horizontal="center" vertical="center"/>
    </xf>
    <xf numFmtId="166" fontId="2" fillId="2" borderId="2" applyAlignment="1" pivotButton="0" quotePrefix="0" xfId="0">
      <alignment horizontal="center" vertical="center"/>
    </xf>
    <xf numFmtId="166" fontId="4" fillId="3" borderId="2" applyAlignment="1" pivotButton="0" quotePrefix="0" xfId="0">
      <alignment horizontal="center" vertical="center"/>
    </xf>
    <xf numFmtId="166" fontId="4" fillId="3" borderId="14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center" vertical="center"/>
    </xf>
    <xf numFmtId="166" fontId="2" fillId="2" borderId="5" applyAlignment="1" pivotButton="0" quotePrefix="0" xfId="0">
      <alignment horizontal="center" vertical="center"/>
    </xf>
    <xf numFmtId="166" fontId="3" fillId="2" borderId="19" applyAlignment="1" pivotButton="0" quotePrefix="0" xfId="0">
      <alignment horizontal="center" vertical="center" wrapText="1"/>
    </xf>
    <xf numFmtId="166" fontId="2" fillId="2" borderId="19" applyAlignment="1" pivotButton="0" quotePrefix="0" xfId="0">
      <alignment horizontal="center" vertical="center"/>
    </xf>
    <xf numFmtId="166" fontId="4" fillId="2" borderId="19" applyAlignment="1" pivotButton="0" quotePrefix="0" xfId="0">
      <alignment horizontal="center" vertical="center" wrapText="1"/>
    </xf>
    <xf numFmtId="166" fontId="4" fillId="3" borderId="7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4" fillId="3" borderId="6" applyAlignment="1" pivotButton="0" quotePrefix="0" xfId="0">
      <alignment horizontal="center" vertical="center"/>
    </xf>
    <xf numFmtId="166" fontId="4" fillId="3" borderId="5" applyAlignment="1" pivotButton="0" quotePrefix="0" xfId="0">
      <alignment horizontal="center" vertical="center"/>
    </xf>
    <xf numFmtId="167" fontId="3" fillId="3" borderId="5" applyAlignment="1" pivotButton="0" quotePrefix="0" xfId="0">
      <alignment horizontal="center" vertical="center"/>
    </xf>
    <xf numFmtId="164" fontId="3" fillId="3" borderId="2" applyAlignment="1" pivotButton="0" quotePrefix="0" xfId="0">
      <alignment horizontal="center" vertical="center"/>
    </xf>
    <xf numFmtId="167" fontId="4" fillId="3" borderId="6" applyAlignment="1" pivotButton="0" quotePrefix="0" xfId="0">
      <alignment horizontal="center" vertical="center"/>
    </xf>
    <xf numFmtId="164" fontId="3" fillId="3" borderId="23" applyAlignment="1" pivotButton="0" quotePrefix="0" xfId="0">
      <alignment horizontal="center" vertical="center"/>
    </xf>
    <xf numFmtId="165" fontId="3" fillId="2" borderId="1" applyAlignment="1" pivotButton="0" quotePrefix="1" xfId="0">
      <alignment horizontal="center" vertical="center"/>
    </xf>
    <xf numFmtId="166" fontId="4" fillId="2" borderId="0" applyAlignment="1" pivotButton="0" quotePrefix="0" xfId="0">
      <alignment horizontal="center" vertical="center"/>
    </xf>
    <xf numFmtId="167" fontId="4" fillId="3" borderId="1" applyAlignment="1" pivotButton="0" quotePrefix="0" xfId="0">
      <alignment horizontal="center" vertical="center"/>
    </xf>
    <xf numFmtId="166" fontId="4" fillId="3" borderId="10" applyAlignment="1" pivotButton="0" quotePrefix="0" xfId="0">
      <alignment horizontal="center" vertical="center"/>
    </xf>
    <xf numFmtId="167" fontId="4" fillId="3" borderId="5" applyAlignment="1" pivotButton="0" quotePrefix="0" xfId="0">
      <alignment horizontal="center" vertical="center"/>
    </xf>
    <xf numFmtId="166" fontId="4" fillId="3" borderId="19" applyAlignment="1" pivotButton="0" quotePrefix="0" xfId="0">
      <alignment horizontal="center" vertical="center"/>
    </xf>
    <xf numFmtId="167" fontId="4" fillId="3" borderId="19" applyAlignment="1" pivotButton="0" quotePrefix="0" xfId="0">
      <alignment horizontal="center" vertical="center"/>
    </xf>
    <xf numFmtId="167" fontId="7" fillId="3" borderId="2" applyAlignment="1" pivotButton="0" quotePrefix="0" xfId="0">
      <alignment horizontal="center" vertical="center"/>
    </xf>
    <xf numFmtId="167" fontId="3" fillId="3" borderId="19" applyAlignment="1" pivotButton="0" quotePrefix="0" xfId="0">
      <alignment horizontal="center" vertical="center"/>
    </xf>
    <xf numFmtId="167" fontId="3" fillId="3" borderId="7" applyAlignment="1" pivotButton="0" quotePrefix="0" xfId="0">
      <alignment horizontal="center" vertical="center"/>
    </xf>
    <xf numFmtId="164" fontId="3" fillId="3" borderId="6" applyAlignment="1" pivotButton="0" quotePrefix="0" xfId="0">
      <alignment horizontal="center" vertical="center"/>
    </xf>
    <xf numFmtId="167" fontId="4" fillId="3" borderId="8" applyAlignment="1" pivotButton="0" quotePrefix="0" xfId="0">
      <alignment horizontal="center" vertical="center"/>
    </xf>
    <xf numFmtId="164" fontId="4" fillId="3" borderId="8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164" fontId="3" fillId="3" borderId="22" applyAlignment="1" pivotButton="0" quotePrefix="0" xfId="0">
      <alignment horizontal="center" vertical="center"/>
    </xf>
    <xf numFmtId="165" fontId="0" fillId="3" borderId="0" pivotButton="0" quotePrefix="0" xfId="0"/>
    <xf numFmtId="164" fontId="0" fillId="3" borderId="0" pivotButton="0" quotePrefix="0" xfId="0"/>
    <xf numFmtId="165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164" fontId="2" fillId="3" borderId="3" applyAlignment="1" pivotButton="0" quotePrefix="0" xfId="0">
      <alignment horizontal="center" vertical="center"/>
    </xf>
    <xf numFmtId="169" fontId="3" fillId="3" borderId="5" applyAlignment="1" pivotButton="0" quotePrefix="0" xfId="0">
      <alignment horizontal="center" vertical="center"/>
    </xf>
    <xf numFmtId="166" fontId="4" fillId="3" borderId="11" applyAlignment="1" pivotButton="0" quotePrefix="0" xfId="0">
      <alignment horizontal="center" vertical="center"/>
    </xf>
    <xf numFmtId="169" fontId="3" fillId="3" borderId="7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 wrapText="1"/>
    </xf>
    <xf numFmtId="167" fontId="8" fillId="3" borderId="0" pivotButton="0" quotePrefix="0" xfId="0"/>
    <xf numFmtId="165" fontId="8" fillId="3" borderId="0" pivotButton="0" quotePrefix="0" xfId="0"/>
    <xf numFmtId="164" fontId="8" fillId="3" borderId="0" pivotButton="0" quotePrefix="0" xfId="0"/>
    <xf numFmtId="164" fontId="9" fillId="3" borderId="4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8" fontId="0" fillId="0" borderId="0" pivotButton="0" quotePrefix="0" xfId="0"/>
    <xf numFmtId="169" fontId="3" fillId="3" borderId="8" applyAlignment="1" pivotButton="0" quotePrefix="0" xfId="0">
      <alignment horizontal="center" vertical="center"/>
    </xf>
    <xf numFmtId="167" fontId="3" fillId="3" borderId="8" applyAlignment="1" pivotButton="0" quotePrefix="0" xfId="0">
      <alignment horizontal="center" vertical="center"/>
    </xf>
    <xf numFmtId="166" fontId="2" fillId="3" borderId="5" applyAlignment="1" pivotButton="0" quotePrefix="0" xfId="0">
      <alignment horizontal="center" vertical="center"/>
    </xf>
    <xf numFmtId="168" fontId="2" fillId="3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4" fontId="3" fillId="2" borderId="20" applyAlignment="1" pivotButton="0" quotePrefix="0" xfId="0">
      <alignment horizontal="center" vertical="center"/>
    </xf>
    <xf numFmtId="164" fontId="3" fillId="3" borderId="20" applyAlignment="1" pivotButton="0" quotePrefix="0" xfId="0">
      <alignment horizontal="center" vertical="center"/>
    </xf>
    <xf numFmtId="166" fontId="2" fillId="2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7" fontId="3" fillId="2" borderId="0" applyAlignment="1" pivotButton="0" quotePrefix="0" xfId="0">
      <alignment horizontal="center" vertical="center"/>
    </xf>
    <xf numFmtId="165" fontId="3" fillId="2" borderId="0" applyAlignment="1" pivotButton="0" quotePrefix="0" xfId="0">
      <alignment horizontal="center" vertical="center"/>
    </xf>
    <xf numFmtId="168" fontId="8" fillId="0" borderId="0" pivotButton="0" quotePrefix="0" xfId="0"/>
    <xf numFmtId="164" fontId="9" fillId="0" borderId="21" applyAlignment="1" pivotButton="0" quotePrefix="0" xfId="0">
      <alignment horizontal="center" vertical="center"/>
    </xf>
    <xf numFmtId="166" fontId="2" fillId="0" borderId="5" applyAlignment="1" pivotButton="0" quotePrefix="0" xfId="0">
      <alignment horizontal="center" vertical="center"/>
    </xf>
    <xf numFmtId="166" fontId="4" fillId="3" borderId="3" applyAlignment="1" pivotButton="0" quotePrefix="0" xfId="0">
      <alignment horizontal="center" vertical="center"/>
    </xf>
    <xf numFmtId="167" fontId="3" fillId="3" borderId="3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/>
    </xf>
    <xf numFmtId="164" fontId="4" fillId="2" borderId="3" applyAlignment="1" pivotButton="0" quotePrefix="0" xfId="0">
      <alignment horizontal="center" vertical="center"/>
    </xf>
    <xf numFmtId="164" fontId="3" fillId="2" borderId="19" applyAlignment="1" pivotButton="0" quotePrefix="0" xfId="0">
      <alignment horizontal="center" vertical="center"/>
    </xf>
    <xf numFmtId="164" fontId="3" fillId="3" borderId="19" applyAlignment="1" pivotButton="0" quotePrefix="0" xfId="0">
      <alignment horizontal="center" vertical="center"/>
    </xf>
    <xf numFmtId="164" fontId="3" fillId="3" borderId="8" applyAlignment="1" pivotButton="0" quotePrefix="0" xfId="0">
      <alignment horizontal="center" vertical="center"/>
    </xf>
    <xf numFmtId="167" fontId="4" fillId="3" borderId="16" applyAlignment="1" pivotButton="0" quotePrefix="0" xfId="0">
      <alignment horizontal="center" vertical="center"/>
    </xf>
    <xf numFmtId="166" fontId="4" fillId="3" borderId="8" applyAlignment="1" pivotButton="0" quotePrefix="0" xfId="0">
      <alignment horizontal="center" vertical="center"/>
    </xf>
    <xf numFmtId="167" fontId="4" fillId="3" borderId="12" applyAlignment="1" pivotButton="0" quotePrefix="0" xfId="0">
      <alignment horizontal="center" vertical="center"/>
    </xf>
    <xf numFmtId="169" fontId="4" fillId="3" borderId="1" applyAlignment="1" pivotButton="0" quotePrefix="0" xfId="0">
      <alignment horizontal="center" vertical="center"/>
    </xf>
    <xf numFmtId="167" fontId="17" fillId="3" borderId="1" applyAlignment="1" pivotButton="0" quotePrefix="0" xfId="0">
      <alignment horizontal="center" vertical="center"/>
    </xf>
    <xf numFmtId="166" fontId="2" fillId="0" borderId="19" applyAlignment="1" pivotButton="0" quotePrefix="0" xfId="0">
      <alignment horizontal="center" vertical="center"/>
    </xf>
    <xf numFmtId="167" fontId="2" fillId="0" borderId="19" applyAlignment="1" pivotButton="0" quotePrefix="0" xfId="0">
      <alignment horizontal="center" vertical="center"/>
    </xf>
    <xf numFmtId="165" fontId="2" fillId="0" borderId="19" applyAlignment="1" pivotButton="0" quotePrefix="0" xfId="0">
      <alignment horizontal="center" vertical="center"/>
    </xf>
    <xf numFmtId="164" fontId="2" fillId="0" borderId="19" applyAlignment="1" pivotButton="0" quotePrefix="0" xfId="0">
      <alignment horizontal="center" vertical="center"/>
    </xf>
    <xf numFmtId="167" fontId="7" fillId="3" borderId="19" applyAlignment="1" pivotButton="0" quotePrefix="0" xfId="0">
      <alignment horizontal="center" vertical="center"/>
    </xf>
    <xf numFmtId="164" fontId="7" fillId="3" borderId="19" applyAlignment="1" pivotButton="0" quotePrefix="0" xfId="0">
      <alignment horizontal="center" vertical="center"/>
    </xf>
    <xf numFmtId="166" fontId="7" fillId="3" borderId="19" applyAlignment="1" pivotButton="0" quotePrefix="0" xfId="0">
      <alignment horizontal="center" vertical="center"/>
    </xf>
    <xf numFmtId="169" fontId="3" fillId="3" borderId="19" applyAlignment="1" pivotButton="0" quotePrefix="0" xfId="0">
      <alignment horizontal="center" vertical="center"/>
    </xf>
    <xf numFmtId="165" fontId="3" fillId="3" borderId="19" applyAlignment="1" pivotButton="0" quotePrefix="0" xfId="0">
      <alignment horizontal="center" vertical="center"/>
    </xf>
    <xf numFmtId="167" fontId="3" fillId="2" borderId="19" applyAlignment="1" pivotButton="0" quotePrefix="0" xfId="0">
      <alignment horizontal="center" vertical="center"/>
    </xf>
    <xf numFmtId="165" fontId="3" fillId="2" borderId="19" applyAlignment="1" pivotButton="0" quotePrefix="0" xfId="0">
      <alignment horizontal="center" vertical="center"/>
    </xf>
    <xf numFmtId="166" fontId="4" fillId="2" borderId="19" applyAlignment="1" pivotButton="0" quotePrefix="0" xfId="0">
      <alignment horizontal="center" vertical="center"/>
    </xf>
    <xf numFmtId="169" fontId="3" fillId="2" borderId="19" applyAlignment="1" pivotButton="0" quotePrefix="0" xfId="0">
      <alignment horizontal="center" vertical="center"/>
    </xf>
    <xf numFmtId="166" fontId="2" fillId="3" borderId="19" applyAlignment="1" pivotButton="0" quotePrefix="0" xfId="0">
      <alignment horizontal="center" vertical="center" wrapText="1"/>
    </xf>
    <xf numFmtId="166" fontId="3" fillId="2" borderId="19" applyAlignment="1" pivotButton="0" quotePrefix="0" xfId="0">
      <alignment horizontal="center" vertical="center"/>
    </xf>
    <xf numFmtId="167" fontId="4" fillId="2" borderId="19" applyAlignment="1" pivotButton="0" quotePrefix="0" xfId="0">
      <alignment horizontal="center" vertical="center"/>
    </xf>
    <xf numFmtId="165" fontId="4" fillId="2" borderId="19" applyAlignment="1" pivotButton="0" quotePrefix="0" xfId="0">
      <alignment horizontal="center" vertical="center"/>
    </xf>
    <xf numFmtId="164" fontId="4" fillId="2" borderId="1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169" fontId="3" fillId="3" borderId="6" applyAlignment="1" pivotButton="0" quotePrefix="0" xfId="0">
      <alignment horizontal="center" vertical="center"/>
    </xf>
    <xf numFmtId="165" fontId="3" fillId="3" borderId="6" applyAlignment="1" pivotButton="0" quotePrefix="0" xfId="0">
      <alignment horizontal="center" vertical="center"/>
    </xf>
    <xf numFmtId="164" fontId="4" fillId="3" borderId="5" applyAlignment="1" pivotButton="0" quotePrefix="0" xfId="0">
      <alignment horizontal="center" vertical="center"/>
    </xf>
    <xf numFmtId="167" fontId="2" fillId="3" borderId="5" applyAlignment="1" pivotButton="0" quotePrefix="0" xfId="0">
      <alignment horizontal="center" vertical="center"/>
    </xf>
    <xf numFmtId="167" fontId="21" fillId="3" borderId="1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topLeftCell="B1" zoomScale="110" zoomScaleNormal="110" workbookViewId="0">
      <selection activeCell="E23" sqref="E23"/>
    </sheetView>
  </sheetViews>
  <sheetFormatPr baseColWidth="8" defaultColWidth="8.77734375" defaultRowHeight="16.2"/>
  <cols>
    <col width="11" bestFit="1" customWidth="1" style="374" min="1" max="1"/>
    <col width="12.88671875" customWidth="1" style="374" min="2" max="2"/>
    <col width="8.88671875" bestFit="1" customWidth="1" style="374" min="3" max="3"/>
    <col width="10.109375" customWidth="1" style="374" min="5" max="5"/>
    <col width="8.77734375" customWidth="1" style="374" min="8" max="8"/>
    <col width="12.21875" customWidth="1" style="374" min="12" max="12"/>
  </cols>
  <sheetData>
    <row r="1" ht="15" customHeight="1" s="374">
      <c r="A1" s="121" t="n"/>
      <c r="B1" s="121" t="n"/>
      <c r="C1" s="121" t="n"/>
      <c r="D1" s="121" t="n"/>
      <c r="E1" s="121" t="n"/>
      <c r="F1" s="121" t="n"/>
      <c r="G1" s="121" t="n"/>
      <c r="H1" s="121" t="n"/>
      <c r="I1" s="121" t="n"/>
      <c r="J1" s="121" t="n"/>
      <c r="K1" s="121" t="n"/>
    </row>
    <row r="2">
      <c r="A2" s="179" t="inlineStr">
        <is>
          <t>司機價表</t>
        </is>
      </c>
      <c r="B2" s="180" t="inlineStr">
        <is>
          <t xml:space="preserve"> </t>
        </is>
      </c>
      <c r="C2" s="181" t="inlineStr">
        <is>
          <t>九龍</t>
        </is>
      </c>
      <c r="D2" s="181" t="inlineStr">
        <is>
          <t>港島</t>
        </is>
      </c>
      <c r="E2" s="181" t="inlineStr">
        <is>
          <t>機場/東涌</t>
        </is>
      </c>
      <c r="F2" s="181" t="inlineStr">
        <is>
          <t>大埔/上水</t>
        </is>
      </c>
      <c r="G2" s="181" t="inlineStr">
        <is>
          <t>西貢</t>
        </is>
      </c>
      <c r="H2" s="181" t="inlineStr">
        <is>
          <t>元朗市/落馬洲</t>
        </is>
      </c>
      <c r="I2" s="181" t="inlineStr">
        <is>
          <t>將軍澳</t>
        </is>
      </c>
      <c r="J2" s="181" t="inlineStr">
        <is>
          <t>沙田</t>
        </is>
      </c>
      <c r="K2" s="182" t="inlineStr">
        <is>
          <t>郵碼</t>
        </is>
      </c>
    </row>
    <row r="3">
      <c r="A3" s="183" t="n"/>
      <c r="B3" s="184" t="inlineStr">
        <is>
          <t>九龍</t>
        </is>
      </c>
      <c r="C3" s="185" t="n">
        <v>250</v>
      </c>
      <c r="D3" s="185" t="n">
        <v>310</v>
      </c>
      <c r="E3" s="185" t="n">
        <v>400</v>
      </c>
      <c r="F3" s="185" t="n">
        <v>360</v>
      </c>
      <c r="G3" s="185" t="n">
        <v>360</v>
      </c>
      <c r="H3" s="185" t="n">
        <v>410</v>
      </c>
      <c r="I3" s="185" t="n">
        <v>310</v>
      </c>
      <c r="J3" s="185" t="n">
        <v>310</v>
      </c>
      <c r="K3" s="185" t="n">
        <v>250</v>
      </c>
    </row>
    <row r="4">
      <c r="A4" s="183" t="n"/>
      <c r="B4" s="184" t="inlineStr">
        <is>
          <t>港島</t>
        </is>
      </c>
      <c r="C4" s="185" t="n">
        <v>300</v>
      </c>
      <c r="D4" s="185" t="n">
        <v>250</v>
      </c>
      <c r="E4" s="185" t="n">
        <v>460</v>
      </c>
      <c r="F4" s="185" t="n">
        <v>450</v>
      </c>
      <c r="G4" s="185" t="n">
        <v>450</v>
      </c>
      <c r="H4" s="185" t="n">
        <v>460</v>
      </c>
      <c r="I4" s="185" t="n">
        <v>360</v>
      </c>
      <c r="J4" s="185" t="n">
        <v>410</v>
      </c>
      <c r="K4" s="185" t="n">
        <v>300</v>
      </c>
    </row>
    <row r="5">
      <c r="A5" s="183" t="n"/>
      <c r="B5" s="184" t="inlineStr">
        <is>
          <t>機場/東涌</t>
        </is>
      </c>
      <c r="C5" s="185" t="n">
        <v>400</v>
      </c>
      <c r="D5" s="185" t="n">
        <v>460</v>
      </c>
      <c r="E5" s="185" t="n">
        <v>250</v>
      </c>
      <c r="F5" s="185" t="n">
        <v>450</v>
      </c>
      <c r="G5" s="185" t="n">
        <v>500</v>
      </c>
      <c r="H5" s="185" t="inlineStr">
        <is>
          <t>400/430</t>
        </is>
      </c>
      <c r="I5" s="185" t="n">
        <v>480</v>
      </c>
      <c r="J5" s="185" t="n">
        <v>400</v>
      </c>
      <c r="K5" s="185" t="n">
        <v>400</v>
      </c>
    </row>
    <row r="6">
      <c r="A6" s="183" t="n"/>
      <c r="B6" s="184" t="inlineStr">
        <is>
          <t>大埔/上水</t>
        </is>
      </c>
      <c r="C6" s="185" t="n">
        <v>360</v>
      </c>
      <c r="D6" s="185" t="n">
        <v>450</v>
      </c>
      <c r="E6" s="185" t="n">
        <v>450</v>
      </c>
      <c r="F6" s="185" t="n">
        <v>250</v>
      </c>
      <c r="G6" s="185" t="n">
        <v>390</v>
      </c>
      <c r="H6" s="185" t="n">
        <v>310</v>
      </c>
      <c r="I6" s="185" t="n">
        <v>360</v>
      </c>
      <c r="J6" s="185" t="n">
        <v>290</v>
      </c>
      <c r="K6" s="185" t="n">
        <v>450</v>
      </c>
    </row>
    <row r="7">
      <c r="A7" s="183" t="n"/>
      <c r="B7" s="184" t="inlineStr">
        <is>
          <t>西貢</t>
        </is>
      </c>
      <c r="C7" s="185" t="n">
        <v>360</v>
      </c>
      <c r="D7" s="185" t="n">
        <v>450</v>
      </c>
      <c r="E7" s="185" t="n">
        <v>500</v>
      </c>
      <c r="F7" s="185" t="n">
        <v>390</v>
      </c>
      <c r="G7" s="185" t="n">
        <v>250</v>
      </c>
      <c r="H7" s="185" t="n">
        <v>460</v>
      </c>
      <c r="I7" s="185" t="n">
        <v>290</v>
      </c>
      <c r="J7" s="185" t="n">
        <v>360</v>
      </c>
      <c r="K7" s="185" t="n">
        <v>400</v>
      </c>
    </row>
    <row r="8">
      <c r="A8" s="183" t="n"/>
      <c r="B8" s="184" t="inlineStr">
        <is>
          <t>元朗市/落馬洲</t>
        </is>
      </c>
      <c r="C8" s="185" t="n">
        <v>410</v>
      </c>
      <c r="D8" s="185" t="n">
        <v>460</v>
      </c>
      <c r="E8" s="185" t="inlineStr">
        <is>
          <t>400/430</t>
        </is>
      </c>
      <c r="F8" s="185" t="n">
        <v>310</v>
      </c>
      <c r="G8" s="185" t="n">
        <v>460</v>
      </c>
      <c r="H8" s="185" t="n">
        <v>250</v>
      </c>
      <c r="I8" s="185" t="n">
        <v>440</v>
      </c>
      <c r="J8" s="185" t="n">
        <v>410</v>
      </c>
      <c r="K8" s="186" t="n">
        <v>450</v>
      </c>
    </row>
    <row r="9">
      <c r="A9" s="183" t="n"/>
      <c r="B9" s="184" t="inlineStr">
        <is>
          <t>將軍澳</t>
        </is>
      </c>
      <c r="C9" s="185" t="n">
        <v>310</v>
      </c>
      <c r="D9" s="185" t="n">
        <v>360</v>
      </c>
      <c r="E9" s="185" t="n">
        <v>480</v>
      </c>
      <c r="F9" s="185" t="n">
        <v>360</v>
      </c>
      <c r="G9" s="185" t="n">
        <v>290</v>
      </c>
      <c r="H9" s="185" t="n">
        <v>440</v>
      </c>
      <c r="I9" s="185" t="n">
        <v>250</v>
      </c>
      <c r="J9" s="185" t="n">
        <v>360</v>
      </c>
      <c r="K9" s="187" t="n">
        <v>300</v>
      </c>
    </row>
    <row r="10">
      <c r="A10" s="183" t="n"/>
      <c r="B10" s="188" t="inlineStr">
        <is>
          <t>沙田</t>
        </is>
      </c>
      <c r="C10" s="185" t="n">
        <v>310</v>
      </c>
      <c r="D10" s="185" t="n">
        <v>410</v>
      </c>
      <c r="E10" s="185" t="n">
        <v>400</v>
      </c>
      <c r="F10" s="185" t="n">
        <v>290</v>
      </c>
      <c r="G10" s="185" t="n">
        <v>360</v>
      </c>
      <c r="H10" s="185" t="n">
        <v>410</v>
      </c>
      <c r="I10" s="185" t="n">
        <v>360</v>
      </c>
      <c r="J10" s="185" t="n">
        <v>250</v>
      </c>
      <c r="K10" s="185" t="n">
        <v>300</v>
      </c>
    </row>
    <row r="11">
      <c r="A11" s="183" t="n"/>
      <c r="B11" s="189" t="inlineStr">
        <is>
          <t>郵碼</t>
        </is>
      </c>
      <c r="C11" s="185" t="n">
        <v>250</v>
      </c>
      <c r="D11" s="185" t="n">
        <v>300</v>
      </c>
      <c r="E11" s="185" t="n">
        <v>380</v>
      </c>
      <c r="F11" s="185" t="n">
        <v>450</v>
      </c>
      <c r="G11" s="185" t="n">
        <v>400</v>
      </c>
      <c r="H11" s="185" t="n">
        <v>450</v>
      </c>
      <c r="I11" s="185" t="n">
        <v>300</v>
      </c>
      <c r="J11" s="185" t="n">
        <v>300</v>
      </c>
      <c r="K11" s="185" t="inlineStr">
        <is>
          <t>NA</t>
        </is>
      </c>
    </row>
    <row r="14">
      <c r="B14" s="272" t="inlineStr">
        <is>
          <t>Disney &gt; AP</t>
        </is>
      </c>
      <c r="C14" s="378" t="n">
        <v>350</v>
      </c>
    </row>
    <row r="15">
      <c r="B15" s="272" t="inlineStr">
        <is>
          <t xml:space="preserve">AP &gt; Disney </t>
        </is>
      </c>
      <c r="C15" s="378" t="n">
        <v>400</v>
      </c>
    </row>
    <row r="16">
      <c r="B16" s="272" t="inlineStr">
        <is>
          <t>東涌　＞ＡＰ</t>
        </is>
      </c>
      <c r="C16" s="272" t="n">
        <v>250</v>
      </c>
    </row>
    <row r="17">
      <c r="B17" s="272" t="inlineStr">
        <is>
          <t>ＡＰ＞　東涌</t>
        </is>
      </c>
      <c r="C17" s="272" t="n">
        <v>300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4"/>
  <sheetViews>
    <sheetView tabSelected="1" zoomScale="80" zoomScaleNormal="80" workbookViewId="0">
      <selection activeCell="B16" sqref="B16"/>
    </sheetView>
  </sheetViews>
  <sheetFormatPr baseColWidth="8" defaultColWidth="8.77734375" defaultRowHeight="16.2"/>
  <cols>
    <col width="12.44140625" customWidth="1" style="29" min="1" max="1"/>
    <col width="60.109375" customWidth="1" style="374" min="3" max="3"/>
    <col width="33.8867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8.3320312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7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inlineStr">
        <is>
          <t>549294</t>
        </is>
      </c>
      <c r="B2" s="131" t="inlineStr">
        <is>
          <t>3:00</t>
        </is>
      </c>
      <c r="C2" s="91" t="inlineStr">
        <is>
          <t>TST &gt; AP</t>
        </is>
      </c>
      <c r="D2" s="388" t="inlineStr">
        <is>
          <t>Eva TZ9800 97062468</t>
        </is>
      </c>
      <c r="E2" s="91" t="n"/>
      <c r="F2" s="111" t="inlineStr">
        <is>
          <t>2:59</t>
        </is>
      </c>
      <c r="G2" s="111" t="inlineStr">
        <is>
          <t>3:32</t>
        </is>
      </c>
      <c r="H2" s="91" t="n"/>
      <c r="I2" s="389" t="inlineStr">
        <is>
          <t>2:59</t>
        </is>
      </c>
      <c r="J2" s="91" t="inlineStr">
        <is>
          <t>OT$60</t>
        </is>
      </c>
      <c r="K2" s="390" t="n">
        <v>60</v>
      </c>
      <c r="L2" s="391" t="n">
        <v>400</v>
      </c>
      <c r="M2" s="392">
        <f>K2+L2</f>
        <v/>
      </c>
      <c r="N2" s="392" t="n">
        <v>30</v>
      </c>
    </row>
    <row r="3" ht="17.25" customFormat="1" customHeight="1" s="110">
      <c r="A3" s="147" t="inlineStr">
        <is>
          <t>549296</t>
        </is>
      </c>
      <c r="B3" s="131" t="inlineStr">
        <is>
          <t>4:30</t>
        </is>
      </c>
      <c r="C3" s="91" t="inlineStr">
        <is>
          <t>TST &gt; AP</t>
        </is>
      </c>
      <c r="D3" s="388" t="inlineStr">
        <is>
          <t>Jacky CT8022 69986953</t>
        </is>
      </c>
      <c r="E3" s="91" t="n"/>
      <c r="F3" s="111" t="inlineStr">
        <is>
          <t>4:29</t>
        </is>
      </c>
      <c r="G3" s="111" t="inlineStr">
        <is>
          <t>5:00</t>
        </is>
      </c>
      <c r="H3" s="39" t="n"/>
      <c r="I3" s="393" t="inlineStr">
        <is>
          <t>4:29</t>
        </is>
      </c>
      <c r="J3" s="39" t="inlineStr">
        <is>
          <t>OT$60</t>
        </is>
      </c>
      <c r="K3" s="392" t="n">
        <v>60</v>
      </c>
      <c r="L3" s="394" t="n">
        <v>400</v>
      </c>
      <c r="M3" s="392">
        <f>K3+L3</f>
        <v/>
      </c>
      <c r="N3" s="392" t="n">
        <v>30</v>
      </c>
    </row>
    <row r="4" ht="17.25" customFormat="1" customHeight="1" s="110">
      <c r="A4" s="147" t="inlineStr">
        <is>
          <t>547719</t>
        </is>
      </c>
      <c r="B4" s="131" t="inlineStr">
        <is>
          <t>11:45</t>
        </is>
      </c>
      <c r="C4" s="91" t="inlineStr">
        <is>
          <t>CX983 &gt; 迪士尼荷里活酒店</t>
        </is>
      </c>
      <c r="D4" s="388" t="inlineStr">
        <is>
          <t>Keith 陳 CK9898 98880261</t>
        </is>
      </c>
      <c r="E4" s="91" t="n"/>
      <c r="F4" s="111" t="inlineStr">
        <is>
          <t>12:05</t>
        </is>
      </c>
      <c r="G4" s="111" t="inlineStr">
        <is>
          <t>12:25</t>
        </is>
      </c>
      <c r="H4" s="39" t="n"/>
      <c r="I4" s="393" t="inlineStr">
        <is>
          <t>12:05</t>
        </is>
      </c>
      <c r="J4" s="39" t="inlineStr">
        <is>
          <t>2 booster</t>
        </is>
      </c>
      <c r="K4" s="392" t="n">
        <v>160</v>
      </c>
      <c r="L4" s="394" t="n">
        <v>400</v>
      </c>
      <c r="M4" s="392">
        <f>K4+L4</f>
        <v/>
      </c>
      <c r="N4" s="392" t="n">
        <v>30</v>
      </c>
    </row>
    <row r="5" ht="17.25" customFormat="1" customHeight="1" s="110">
      <c r="A5" s="89" t="inlineStr">
        <is>
          <t>549376</t>
        </is>
      </c>
      <c r="B5" s="48" t="n">
        <v>0.4340277777777778</v>
      </c>
      <c r="C5" s="99" t="inlineStr">
        <is>
          <t>Cordis &gt; AP</t>
        </is>
      </c>
      <c r="D5" s="99" t="inlineStr">
        <is>
          <t>Keith 陳 CK9898 98880261</t>
        </is>
      </c>
      <c r="E5" s="91" t="n"/>
      <c r="F5" s="111" t="inlineStr">
        <is>
          <t>10:28</t>
        </is>
      </c>
      <c r="G5" s="111" t="inlineStr">
        <is>
          <t>11:00</t>
        </is>
      </c>
      <c r="H5" s="39" t="n"/>
      <c r="I5" s="393" t="inlineStr">
        <is>
          <t>10:28</t>
        </is>
      </c>
      <c r="J5" s="39" t="n"/>
      <c r="K5" s="392" t="n"/>
      <c r="L5" s="391" t="n">
        <v>400</v>
      </c>
      <c r="M5" s="392">
        <f>K5+L5</f>
        <v/>
      </c>
      <c r="N5" s="392" t="n">
        <v>30</v>
      </c>
    </row>
    <row r="6" ht="17.25" customFormat="1" customHeight="1" s="110">
      <c r="A6" s="89" t="inlineStr">
        <is>
          <t>549375</t>
        </is>
      </c>
      <c r="B6" s="48" t="n">
        <v>0.375</v>
      </c>
      <c r="C6" s="99" t="inlineStr">
        <is>
          <t>3V 401 &gt; AP</t>
        </is>
      </c>
      <c r="D6" s="395" t="inlineStr">
        <is>
          <t>Eva TZ9800 97062468</t>
        </is>
      </c>
      <c r="E6" s="91" t="n"/>
      <c r="F6" s="40" t="inlineStr">
        <is>
          <t>9:08</t>
        </is>
      </c>
      <c r="G6" s="40" t="inlineStr">
        <is>
          <t>10:01</t>
        </is>
      </c>
      <c r="H6" s="39" t="n"/>
      <c r="I6" s="393" t="inlineStr">
        <is>
          <t>9:08</t>
        </is>
      </c>
      <c r="J6" s="39" t="n"/>
      <c r="K6" s="396" t="n"/>
      <c r="L6" s="394" t="n">
        <v>400</v>
      </c>
      <c r="M6" s="392">
        <f>K6+L6</f>
        <v/>
      </c>
      <c r="N6" s="392" t="n">
        <v>30</v>
      </c>
    </row>
    <row r="7" ht="17.25" customFormat="1" customHeight="1" s="110">
      <c r="A7" s="45" t="inlineStr">
        <is>
          <t>549375</t>
        </is>
      </c>
      <c r="B7" s="46" t="n">
        <v>0.375</v>
      </c>
      <c r="C7" s="39" t="inlineStr">
        <is>
          <t>3V 401 &gt; AP</t>
        </is>
      </c>
      <c r="D7" s="393" t="inlineStr">
        <is>
          <t>Cheuk/卓師傅 KC6089 96695358</t>
        </is>
      </c>
      <c r="E7" s="91" t="n"/>
      <c r="F7" s="40" t="inlineStr">
        <is>
          <t>9:08</t>
        </is>
      </c>
      <c r="G7" s="40" t="inlineStr">
        <is>
          <t>10:01</t>
        </is>
      </c>
      <c r="H7" s="39" t="n"/>
      <c r="I7" s="393" t="inlineStr">
        <is>
          <t>9:08</t>
        </is>
      </c>
      <c r="J7" s="39" t="inlineStr">
        <is>
          <t>P$35</t>
        </is>
      </c>
      <c r="K7" s="397" t="n">
        <v>35</v>
      </c>
      <c r="L7" s="394" t="n">
        <v>400</v>
      </c>
      <c r="M7" s="392">
        <f>K7+L7</f>
        <v/>
      </c>
      <c r="N7" s="392" t="n">
        <v>30</v>
      </c>
    </row>
    <row r="8" ht="17.25" customFormat="1" customHeight="1" s="110">
      <c r="A8" s="45" t="inlineStr">
        <is>
          <t>549295</t>
        </is>
      </c>
      <c r="B8" s="46" t="inlineStr">
        <is>
          <t>4:00</t>
        </is>
      </c>
      <c r="C8" s="39" t="inlineStr">
        <is>
          <t>MB294 &gt; AP</t>
        </is>
      </c>
      <c r="D8" s="393" t="inlineStr">
        <is>
          <t>Eva TZ9800 97062468</t>
        </is>
      </c>
      <c r="E8" s="91" t="n"/>
      <c r="F8" s="40" t="inlineStr">
        <is>
          <t>4:38</t>
        </is>
      </c>
      <c r="G8" s="40" t="inlineStr">
        <is>
          <t>5:05</t>
        </is>
      </c>
      <c r="H8" s="39" t="n"/>
      <c r="I8" s="393" t="inlineStr">
        <is>
          <t>4:38</t>
        </is>
      </c>
      <c r="J8" s="39" t="inlineStr">
        <is>
          <t>OT$60</t>
        </is>
      </c>
      <c r="K8" s="397" t="n">
        <v>60</v>
      </c>
      <c r="L8" s="391" t="n">
        <v>400</v>
      </c>
      <c r="M8" s="392">
        <f>K8+L8</f>
        <v/>
      </c>
      <c r="N8" s="392" t="n">
        <v>30</v>
      </c>
    </row>
    <row r="9" ht="17.25" customFormat="1" customHeight="1" s="110">
      <c r="A9" s="89" t="inlineStr">
        <is>
          <t>549295</t>
        </is>
      </c>
      <c r="B9" s="48" t="inlineStr">
        <is>
          <t>4:00</t>
        </is>
      </c>
      <c r="C9" s="99" t="inlineStr">
        <is>
          <t>MB294 &gt; AP</t>
        </is>
      </c>
      <c r="D9" s="393" t="inlineStr">
        <is>
          <t>Ricky 黎 ZJ6071 51089715</t>
        </is>
      </c>
      <c r="E9" s="39" t="n"/>
      <c r="F9" s="40" t="inlineStr">
        <is>
          <t>4:38</t>
        </is>
      </c>
      <c r="G9" s="40" t="inlineStr">
        <is>
          <t>5:05</t>
        </is>
      </c>
      <c r="H9" s="398" t="n"/>
      <c r="I9" s="393" t="inlineStr">
        <is>
          <t>4:38</t>
        </is>
      </c>
      <c r="J9" s="398" t="inlineStr">
        <is>
          <t>P$35 OT$60</t>
        </is>
      </c>
      <c r="K9" s="392" t="n">
        <v>95</v>
      </c>
      <c r="L9" s="394" t="n">
        <v>400</v>
      </c>
      <c r="M9" s="392">
        <f>K9+L9</f>
        <v/>
      </c>
      <c r="N9" s="392" t="n">
        <v>30</v>
      </c>
    </row>
    <row r="10" ht="17.25" customFormat="1" customHeight="1" s="110">
      <c r="A10" s="89" t="n"/>
      <c r="B10" s="48" t="n"/>
      <c r="C10" s="99" t="n"/>
      <c r="D10" s="39" t="n"/>
      <c r="E10" s="39" t="n"/>
      <c r="F10" s="40" t="n"/>
      <c r="G10" s="40" t="n"/>
      <c r="H10" s="398" t="n"/>
      <c r="I10" s="393" t="n"/>
      <c r="J10" s="393" t="n"/>
      <c r="K10" s="392" t="n"/>
      <c r="L10" s="392" t="n"/>
      <c r="M10" s="392">
        <f>K10+L10</f>
        <v/>
      </c>
      <c r="N10" s="392" t="n">
        <v>0</v>
      </c>
    </row>
    <row r="11" ht="17.25" customFormat="1" customHeight="1" s="110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393" t="n"/>
      <c r="K11" s="392" t="n"/>
      <c r="L11" s="391" t="n"/>
      <c r="M11" s="400">
        <f>K11+L11</f>
        <v/>
      </c>
      <c r="N11" s="392" t="n">
        <v>0</v>
      </c>
    </row>
    <row r="12" ht="17.25" customFormat="1" customHeight="1" s="110">
      <c r="A12" s="45" t="n"/>
      <c r="B12" s="48" t="n"/>
      <c r="C12" s="39" t="n"/>
      <c r="D12" s="399" t="n"/>
      <c r="E12" s="39" t="n"/>
      <c r="F12" s="40" t="n"/>
      <c r="G12" s="40" t="n"/>
      <c r="H12" s="398" t="n"/>
      <c r="I12" s="393" t="n"/>
      <c r="J12" s="401" t="n"/>
      <c r="K12" s="392" t="n"/>
      <c r="L12" s="391" t="n"/>
      <c r="M12" s="400">
        <f>K12+L12</f>
        <v/>
      </c>
      <c r="N12" s="392" t="n">
        <v>0</v>
      </c>
    </row>
    <row r="13" ht="17.25" customFormat="1" customHeight="1" s="6">
      <c r="A13" s="59" t="n"/>
      <c r="B13" s="52" t="n"/>
      <c r="C13" s="53" t="n"/>
      <c r="D13" s="402" t="n"/>
      <c r="E13" s="53" t="n"/>
      <c r="F13" s="54" t="n"/>
      <c r="G13" s="54" t="n"/>
      <c r="H13" s="53" t="n"/>
      <c r="I13" s="403" t="n"/>
      <c r="J13" s="404" t="n"/>
      <c r="K13" s="392" t="n"/>
      <c r="L13" s="391" t="n"/>
      <c r="M13" s="400">
        <f>K13+L13</f>
        <v/>
      </c>
      <c r="N13" s="392" t="n">
        <v>0</v>
      </c>
    </row>
    <row r="14" ht="17.25" customHeight="1" s="374">
      <c r="A14" s="45" t="n"/>
      <c r="B14" s="46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 ht="17.25" customHeight="1" s="374">
      <c r="A15" s="47" t="n"/>
      <c r="B15" s="48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 ht="17.25" customHeight="1" s="374">
      <c r="A16" s="45" t="n"/>
      <c r="B16" s="46" t="n"/>
      <c r="C16" s="39" t="n"/>
      <c r="D16" s="399" t="n"/>
      <c r="E16" s="39" t="n"/>
      <c r="F16" s="40" t="n"/>
      <c r="G16" s="40" t="n"/>
      <c r="H16" s="39" t="n"/>
      <c r="I16" s="393" t="n"/>
      <c r="J16" s="404" t="n"/>
      <c r="K16" s="392" t="n"/>
      <c r="L16" s="392" t="n"/>
      <c r="M16" s="400">
        <f>K16+L16</f>
        <v/>
      </c>
      <c r="N16" s="392" t="n">
        <v>0</v>
      </c>
    </row>
    <row r="17" ht="17.25" customHeight="1" s="374">
      <c r="A17" s="1" t="n"/>
      <c r="B17" s="8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 ht="17.25" customHeight="1" s="374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40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114" t="n"/>
      <c r="B23" s="8" t="n"/>
      <c r="C23" s="115" t="n"/>
      <c r="D23" s="402" t="n"/>
      <c r="E23" s="53" t="n"/>
      <c r="F23" s="54" t="n"/>
      <c r="G23" s="54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114" t="n"/>
      <c r="B24" s="8" t="n"/>
      <c r="C24" s="115" t="n"/>
      <c r="D24" s="402" t="n"/>
      <c r="E24" s="53" t="n"/>
      <c r="F24" s="54" t="n"/>
      <c r="G24" s="54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114" t="n"/>
      <c r="B25" s="8" t="n"/>
      <c r="C25" s="72" t="n"/>
      <c r="D25" s="402" t="n"/>
      <c r="E25" s="53" t="n"/>
      <c r="F25" s="54" t="n"/>
      <c r="G25" s="54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114" t="n"/>
      <c r="B26" s="8" t="n"/>
      <c r="C26" s="72" t="n"/>
      <c r="D26" s="402" t="n"/>
      <c r="E26" s="53" t="n"/>
      <c r="F26" s="54" t="n"/>
      <c r="G26" s="54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1" t="n"/>
      <c r="B27" s="62" t="n"/>
      <c r="C27" s="116" t="n"/>
      <c r="D27" s="402" t="n"/>
      <c r="E27" s="53" t="n"/>
      <c r="F27" s="54" t="n"/>
      <c r="G27" s="54" t="n"/>
      <c r="H27" s="408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114" t="n"/>
      <c r="B28" s="52" t="n"/>
      <c r="C28" s="117" t="n"/>
      <c r="D28" s="402" t="n"/>
      <c r="E28" s="53" t="n"/>
      <c r="F28" s="54" t="n"/>
      <c r="G28" s="54" t="n"/>
      <c r="H28" s="408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114" t="n"/>
      <c r="B29" s="52" t="n"/>
      <c r="C29" s="117" t="n"/>
      <c r="D29" s="402" t="n"/>
      <c r="E29" s="53" t="n"/>
      <c r="F29" s="54" t="n"/>
      <c r="G29" s="54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114" t="n"/>
      <c r="B30" s="52" t="n"/>
      <c r="C30" s="115" t="n"/>
      <c r="D30" s="402" t="n"/>
      <c r="E30" s="53" t="n"/>
      <c r="F30" s="54" t="n"/>
      <c r="G30" s="54" t="n"/>
      <c r="H30" s="53" t="n"/>
      <c r="I30" s="403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14" t="n"/>
      <c r="B31" s="52" t="n"/>
      <c r="C31" s="53" t="n"/>
      <c r="D31" s="402" t="n"/>
      <c r="E31" s="53" t="n"/>
      <c r="F31" s="54" t="n"/>
      <c r="G31" s="54" t="n"/>
      <c r="H31" s="53" t="n"/>
      <c r="I31" s="403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14" t="n"/>
      <c r="B32" s="52" t="n"/>
      <c r="C32" s="53" t="n"/>
      <c r="D32" s="402" t="n"/>
      <c r="E32" s="53" t="n"/>
      <c r="F32" s="54" t="n"/>
      <c r="G32" s="54" t="n"/>
      <c r="H32" s="408" t="n"/>
      <c r="I32" s="403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13" t="n"/>
      <c r="K37" s="414" t="n"/>
      <c r="L37" s="414" t="n"/>
      <c r="M37" s="415">
        <f>K37+L37</f>
        <v/>
      </c>
      <c r="N37" s="390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17" t="n"/>
      <c r="K38" s="418" t="n"/>
      <c r="L38" s="418" t="n"/>
      <c r="M38" s="418" t="n"/>
      <c r="N38" s="419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42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SUM(M2:M38)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autoFilter ref="B1:B134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M3" sqref="M3"/>
    </sheetView>
  </sheetViews>
  <sheetFormatPr baseColWidth="8" defaultColWidth="8.77734375" defaultRowHeight="16.2"/>
  <cols>
    <col width="12.44140625" customWidth="1" style="29" min="1" max="1"/>
    <col width="60.1093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8.3320312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7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>
        <v>549349</v>
      </c>
      <c r="B2" s="131" t="n">
        <v>0.2604166666666667</v>
      </c>
      <c r="C2" s="91" t="inlineStr">
        <is>
          <t>CX234 &gt; TST</t>
        </is>
      </c>
      <c r="D2" s="425" t="inlineStr">
        <is>
          <t>陳師傅 WH9918</t>
        </is>
      </c>
      <c r="E2" s="91" t="n"/>
      <c r="F2" s="111" t="n">
        <v>0.3125</v>
      </c>
      <c r="G2" s="111" t="n">
        <v>0.3333333333333333</v>
      </c>
      <c r="H2" s="91" t="n"/>
      <c r="I2" s="389" t="n"/>
      <c r="J2" s="91" t="inlineStr">
        <is>
          <t>(OFFICE Wait 0.5hr) OT60</t>
        </is>
      </c>
      <c r="K2" s="390" t="n">
        <v>60</v>
      </c>
      <c r="L2" s="391" t="n">
        <v>400</v>
      </c>
      <c r="M2" s="392">
        <f>K2+L2</f>
        <v/>
      </c>
      <c r="N2" s="392" t="n">
        <v>30</v>
      </c>
    </row>
    <row r="3" ht="17.25" customFormat="1" customHeight="1" s="110">
      <c r="A3" s="147" t="n"/>
      <c r="B3" s="131" t="n"/>
      <c r="C3" s="91" t="n"/>
      <c r="D3" s="388" t="n"/>
      <c r="E3" s="91" t="n"/>
      <c r="F3" s="111" t="n"/>
      <c r="G3" s="111" t="n"/>
      <c r="H3" s="39" t="n"/>
      <c r="I3" s="393" t="n"/>
      <c r="J3" s="39" t="n"/>
      <c r="K3" s="392" t="n"/>
      <c r="L3" s="394" t="n"/>
      <c r="M3" s="392" t="n"/>
      <c r="N3" s="392" t="n">
        <v>0</v>
      </c>
    </row>
    <row r="4" ht="17.25" customFormat="1" customHeight="1" s="110">
      <c r="A4" s="147" t="n"/>
      <c r="B4" s="131" t="n"/>
      <c r="C4" s="91" t="n"/>
      <c r="D4" s="388" t="n"/>
      <c r="E4" s="91" t="n"/>
      <c r="F4" s="111" t="n"/>
      <c r="G4" s="111" t="n"/>
      <c r="H4" s="39" t="n"/>
      <c r="I4" s="393" t="n"/>
      <c r="J4" s="39" t="n"/>
      <c r="K4" s="392" t="n"/>
      <c r="L4" s="394" t="n"/>
      <c r="M4" s="392" t="n"/>
      <c r="N4" s="392" t="n">
        <v>0</v>
      </c>
    </row>
    <row r="5" ht="17.25" customFormat="1" customHeight="1" s="110">
      <c r="A5" s="89" t="n"/>
      <c r="B5" s="48" t="n"/>
      <c r="C5" s="99" t="n"/>
      <c r="D5" s="99" t="n"/>
      <c r="E5" s="91" t="n"/>
      <c r="F5" s="111" t="n"/>
      <c r="G5" s="111" t="n"/>
      <c r="H5" s="39" t="n"/>
      <c r="I5" s="393" t="n"/>
      <c r="J5" s="39" t="n"/>
      <c r="K5" s="392" t="n"/>
      <c r="L5" s="391" t="n"/>
      <c r="M5" s="392" t="n"/>
      <c r="N5" s="392" t="n">
        <v>0</v>
      </c>
    </row>
    <row r="6" ht="17.25" customFormat="1" customHeight="1" s="110">
      <c r="A6" s="89" t="n"/>
      <c r="B6" s="48" t="n"/>
      <c r="C6" s="99" t="n"/>
      <c r="D6" s="395" t="n"/>
      <c r="E6" s="91" t="n"/>
      <c r="F6" s="40" t="n"/>
      <c r="G6" s="40" t="n"/>
      <c r="H6" s="39" t="n"/>
      <c r="I6" s="393" t="n"/>
      <c r="J6" s="39" t="n"/>
      <c r="K6" s="396" t="n"/>
      <c r="L6" s="394" t="n"/>
      <c r="M6" s="392" t="n"/>
      <c r="N6" s="392" t="n">
        <v>0</v>
      </c>
    </row>
    <row r="7" ht="17.25" customFormat="1" customHeight="1" s="110">
      <c r="A7" s="45" t="n"/>
      <c r="B7" s="46" t="n"/>
      <c r="C7" s="39" t="n"/>
      <c r="D7" s="393" t="n"/>
      <c r="E7" s="91" t="n"/>
      <c r="F7" s="40" t="n"/>
      <c r="G7" s="40" t="n"/>
      <c r="H7" s="39" t="n"/>
      <c r="I7" s="393" t="n"/>
      <c r="J7" s="39" t="n"/>
      <c r="K7" s="397" t="n"/>
      <c r="L7" s="394" t="n"/>
      <c r="M7" s="392" t="n"/>
      <c r="N7" s="392" t="n">
        <v>0</v>
      </c>
    </row>
    <row r="8" ht="17.25" customFormat="1" customHeight="1" s="110">
      <c r="A8" s="45" t="n"/>
      <c r="B8" s="46" t="n"/>
      <c r="C8" s="39" t="n"/>
      <c r="D8" s="393" t="n"/>
      <c r="E8" s="91" t="n"/>
      <c r="F8" s="40" t="n"/>
      <c r="G8" s="40" t="n"/>
      <c r="H8" s="39" t="n"/>
      <c r="I8" s="393" t="n"/>
      <c r="J8" s="39" t="n"/>
      <c r="K8" s="397" t="n"/>
      <c r="L8" s="391" t="n"/>
      <c r="M8" s="392" t="n"/>
      <c r="N8" s="392" t="n">
        <v>0</v>
      </c>
    </row>
    <row r="9" ht="17.25" customFormat="1" customHeight="1" s="110">
      <c r="A9" s="89" t="n"/>
      <c r="B9" s="48" t="n"/>
      <c r="C9" s="99" t="n"/>
      <c r="D9" s="393" t="n"/>
      <c r="E9" s="39" t="n"/>
      <c r="F9" s="40" t="n"/>
      <c r="G9" s="40" t="n"/>
      <c r="H9" s="398" t="n"/>
      <c r="I9" s="393" t="n"/>
      <c r="J9" s="398" t="n"/>
      <c r="K9" s="392" t="n"/>
      <c r="L9" s="394" t="n"/>
      <c r="M9" s="392" t="n"/>
      <c r="N9" s="392" t="n">
        <v>0</v>
      </c>
    </row>
    <row r="10" ht="17.25" customFormat="1" customHeight="1" s="110">
      <c r="A10" s="89" t="n"/>
      <c r="B10" s="48" t="n"/>
      <c r="C10" s="99" t="n"/>
      <c r="D10" s="39" t="n"/>
      <c r="E10" s="39" t="n"/>
      <c r="F10" s="40" t="n"/>
      <c r="G10" s="40" t="n"/>
      <c r="H10" s="398" t="n"/>
      <c r="I10" s="393" t="n"/>
      <c r="J10" s="393" t="n"/>
      <c r="K10" s="392" t="n"/>
      <c r="L10" s="392" t="n"/>
      <c r="M10" s="392" t="n"/>
      <c r="N10" s="392" t="n">
        <v>0</v>
      </c>
    </row>
    <row r="11" ht="17.25" customFormat="1" customHeight="1" s="110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393" t="n"/>
      <c r="K11" s="392" t="n"/>
      <c r="L11" s="391" t="n"/>
      <c r="M11" s="400" t="n"/>
      <c r="N11" s="392" t="n">
        <v>0</v>
      </c>
    </row>
    <row r="12" ht="17.25" customFormat="1" customHeight="1" s="110">
      <c r="A12" s="45" t="n"/>
      <c r="B12" s="48" t="n"/>
      <c r="C12" s="39" t="n"/>
      <c r="D12" s="399" t="n"/>
      <c r="E12" s="39" t="n"/>
      <c r="F12" s="40" t="n"/>
      <c r="G12" s="40" t="n"/>
      <c r="H12" s="398" t="n"/>
      <c r="I12" s="393" t="n"/>
      <c r="J12" s="401" t="n"/>
      <c r="K12" s="392" t="n"/>
      <c r="L12" s="391" t="n"/>
      <c r="M12" s="400" t="n"/>
      <c r="N12" s="392" t="n">
        <v>0</v>
      </c>
    </row>
    <row r="13" ht="17.25" customFormat="1" customHeight="1" s="6">
      <c r="A13" s="59" t="n"/>
      <c r="B13" s="52" t="n"/>
      <c r="C13" s="53" t="n"/>
      <c r="D13" s="402" t="n"/>
      <c r="E13" s="53" t="n"/>
      <c r="F13" s="54" t="n"/>
      <c r="G13" s="54" t="n"/>
      <c r="H13" s="53" t="n"/>
      <c r="I13" s="403" t="n"/>
      <c r="J13" s="404" t="n"/>
      <c r="K13" s="392" t="n"/>
      <c r="L13" s="391" t="n"/>
      <c r="M13" s="400" t="n"/>
      <c r="N13" s="392" t="n">
        <v>0</v>
      </c>
    </row>
    <row r="14" ht="17.25" customHeight="1" s="374">
      <c r="A14" s="45" t="n"/>
      <c r="B14" s="46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 t="n"/>
      <c r="N14" s="392" t="n">
        <v>0</v>
      </c>
    </row>
    <row r="15" ht="17.25" customHeight="1" s="374">
      <c r="A15" s="47" t="n"/>
      <c r="B15" s="48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 t="n"/>
      <c r="N15" s="392" t="n">
        <v>0</v>
      </c>
    </row>
    <row r="16" ht="17.25" customHeight="1" s="374">
      <c r="A16" s="45" t="n"/>
      <c r="B16" s="46" t="n"/>
      <c r="C16" s="39" t="n"/>
      <c r="D16" s="399" t="n"/>
      <c r="E16" s="39" t="n"/>
      <c r="F16" s="40" t="n"/>
      <c r="G16" s="40" t="n"/>
      <c r="H16" s="39" t="n"/>
      <c r="I16" s="393" t="n"/>
      <c r="J16" s="404" t="n"/>
      <c r="K16" s="392" t="n"/>
      <c r="L16" s="392" t="n"/>
      <c r="M16" s="400" t="n"/>
      <c r="N16" s="392" t="n">
        <v>0</v>
      </c>
    </row>
    <row r="17" ht="17.25" customHeight="1" s="374">
      <c r="A17" s="1" t="n"/>
      <c r="B17" s="8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 t="n"/>
      <c r="N17" s="392" t="n">
        <v>0</v>
      </c>
    </row>
    <row r="18" ht="17.25" customHeight="1" s="374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 t="n"/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 t="n"/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 t="n"/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 t="n"/>
      <c r="N21" s="392" t="n">
        <v>0</v>
      </c>
    </row>
    <row r="22">
      <c r="A22" s="51" t="n"/>
      <c r="B22" s="62" t="n"/>
      <c r="C22" s="53" t="n"/>
      <c r="D22" s="40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 t="n"/>
      <c r="N22" s="392" t="n">
        <v>0</v>
      </c>
    </row>
    <row r="23">
      <c r="A23" s="114" t="n"/>
      <c r="B23" s="8" t="n"/>
      <c r="C23" s="115" t="n"/>
      <c r="D23" s="402" t="n"/>
      <c r="E23" s="53" t="n"/>
      <c r="F23" s="54" t="n"/>
      <c r="G23" s="54" t="n"/>
      <c r="H23" s="53" t="n"/>
      <c r="I23" s="403" t="n"/>
      <c r="J23" s="406" t="n"/>
      <c r="K23" s="400" t="n"/>
      <c r="L23" s="400" t="n"/>
      <c r="M23" s="400" t="n"/>
      <c r="N23" s="392" t="n">
        <v>0</v>
      </c>
    </row>
    <row r="24">
      <c r="A24" s="114" t="n"/>
      <c r="B24" s="8" t="n"/>
      <c r="C24" s="115" t="n"/>
      <c r="D24" s="402" t="n"/>
      <c r="E24" s="53" t="n"/>
      <c r="F24" s="54" t="n"/>
      <c r="G24" s="54" t="n"/>
      <c r="H24" s="53" t="n"/>
      <c r="I24" s="403" t="n"/>
      <c r="J24" s="406" t="n"/>
      <c r="K24" s="400" t="n"/>
      <c r="L24" s="400" t="n"/>
      <c r="M24" s="400" t="n"/>
      <c r="N24" s="392" t="n">
        <v>0</v>
      </c>
    </row>
    <row r="25">
      <c r="A25" s="114" t="n"/>
      <c r="B25" s="8" t="n"/>
      <c r="C25" s="72" t="n"/>
      <c r="D25" s="402" t="n"/>
      <c r="E25" s="53" t="n"/>
      <c r="F25" s="54" t="n"/>
      <c r="G25" s="54" t="n"/>
      <c r="H25" s="53" t="n"/>
      <c r="I25" s="403" t="n"/>
      <c r="J25" s="406" t="n"/>
      <c r="K25" s="400" t="n"/>
      <c r="L25" s="400" t="n"/>
      <c r="M25" s="400" t="n"/>
      <c r="N25" s="392" t="n">
        <v>0</v>
      </c>
    </row>
    <row r="26">
      <c r="A26" s="114" t="n"/>
      <c r="B26" s="8" t="n"/>
      <c r="C26" s="72" t="n"/>
      <c r="D26" s="402" t="n"/>
      <c r="E26" s="53" t="n"/>
      <c r="F26" s="54" t="n"/>
      <c r="G26" s="54" t="n"/>
      <c r="H26" s="53" t="n"/>
      <c r="I26" s="403" t="n"/>
      <c r="J26" s="406" t="n"/>
      <c r="K26" s="400" t="n"/>
      <c r="L26" s="400" t="n"/>
      <c r="M26" s="400" t="n"/>
      <c r="N26" s="392" t="n">
        <v>0</v>
      </c>
    </row>
    <row r="27">
      <c r="A27" s="1" t="n"/>
      <c r="B27" s="62" t="n"/>
      <c r="C27" s="116" t="n"/>
      <c r="D27" s="402" t="n"/>
      <c r="E27" s="53" t="n"/>
      <c r="F27" s="54" t="n"/>
      <c r="G27" s="54" t="n"/>
      <c r="H27" s="408" t="n"/>
      <c r="I27" s="403" t="n"/>
      <c r="J27" s="406" t="n"/>
      <c r="K27" s="400" t="n"/>
      <c r="L27" s="400" t="n"/>
      <c r="M27" s="400" t="n"/>
      <c r="N27" s="392" t="n">
        <v>0</v>
      </c>
    </row>
    <row r="28">
      <c r="A28" s="114" t="n"/>
      <c r="B28" s="52" t="n"/>
      <c r="C28" s="117" t="n"/>
      <c r="D28" s="402" t="n"/>
      <c r="E28" s="53" t="n"/>
      <c r="F28" s="54" t="n"/>
      <c r="G28" s="54" t="n"/>
      <c r="H28" s="408" t="n"/>
      <c r="I28" s="403" t="n"/>
      <c r="J28" s="406" t="n"/>
      <c r="K28" s="400" t="n"/>
      <c r="L28" s="400" t="n"/>
      <c r="M28" s="400" t="n"/>
      <c r="N28" s="392" t="n">
        <v>0</v>
      </c>
    </row>
    <row r="29">
      <c r="A29" s="114" t="n"/>
      <c r="B29" s="52" t="n"/>
      <c r="C29" s="117" t="n"/>
      <c r="D29" s="402" t="n"/>
      <c r="E29" s="53" t="n"/>
      <c r="F29" s="54" t="n"/>
      <c r="G29" s="54" t="n"/>
      <c r="H29" s="53" t="n"/>
      <c r="I29" s="403" t="n"/>
      <c r="J29" s="406" t="n"/>
      <c r="K29" s="400" t="n"/>
      <c r="L29" s="400" t="n"/>
      <c r="M29" s="400" t="n"/>
      <c r="N29" s="392" t="n">
        <v>0</v>
      </c>
    </row>
    <row r="30">
      <c r="A30" s="114" t="n"/>
      <c r="B30" s="52" t="n"/>
      <c r="C30" s="115" t="n"/>
      <c r="D30" s="402" t="n"/>
      <c r="E30" s="53" t="n"/>
      <c r="F30" s="54" t="n"/>
      <c r="G30" s="54" t="n"/>
      <c r="H30" s="53" t="n"/>
      <c r="I30" s="403" t="n"/>
      <c r="J30" s="409" t="n"/>
      <c r="K30" s="410" t="n"/>
      <c r="L30" s="410" t="n"/>
      <c r="M30" s="400" t="n"/>
      <c r="N30" s="392" t="n">
        <v>0</v>
      </c>
    </row>
    <row r="31">
      <c r="A31" s="114" t="n"/>
      <c r="B31" s="52" t="n"/>
      <c r="C31" s="53" t="n"/>
      <c r="D31" s="402" t="n"/>
      <c r="E31" s="53" t="n"/>
      <c r="F31" s="54" t="n"/>
      <c r="G31" s="54" t="n"/>
      <c r="H31" s="53" t="n"/>
      <c r="I31" s="403" t="n"/>
      <c r="J31" s="409" t="n"/>
      <c r="K31" s="410" t="n"/>
      <c r="L31" s="410" t="n"/>
      <c r="M31" s="400" t="n"/>
      <c r="N31" s="392" t="n">
        <v>0</v>
      </c>
    </row>
    <row r="32">
      <c r="A32" s="114" t="n"/>
      <c r="B32" s="52" t="n"/>
      <c r="C32" s="53" t="n"/>
      <c r="D32" s="402" t="n"/>
      <c r="E32" s="53" t="n"/>
      <c r="F32" s="54" t="n"/>
      <c r="G32" s="54" t="n"/>
      <c r="H32" s="408" t="n"/>
      <c r="I32" s="403" t="n"/>
      <c r="J32" s="409" t="n"/>
      <c r="K32" s="410" t="n"/>
      <c r="L32" s="410" t="n"/>
      <c r="M32" s="400" t="n"/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 t="n"/>
      <c r="N33" s="392" t="n">
        <v>0</v>
      </c>
    </row>
    <row r="34">
      <c r="A34" s="14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 t="n"/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 t="n"/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 t="n"/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13" t="n"/>
      <c r="K37" s="414" t="n"/>
      <c r="L37" s="414" t="n"/>
      <c r="M37" s="415" t="n"/>
      <c r="N37" s="390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17" t="n"/>
      <c r="K38" s="418" t="n"/>
      <c r="L38" s="418" t="n"/>
      <c r="M38" s="418" t="n"/>
      <c r="N38" s="419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422" t="n">
        <v>0</v>
      </c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 t="n"/>
      <c r="N40" s="423" t="n"/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8" sqref="A18"/>
    </sheetView>
  </sheetViews>
  <sheetFormatPr baseColWidth="8" defaultColWidth="8.77734375" defaultRowHeight="16.2"/>
  <cols>
    <col width="12.44140625" customWidth="1" style="29" min="1" max="1"/>
    <col width="10.21875" bestFit="1" customWidth="1" style="374" min="2" max="2"/>
    <col width="37" bestFit="1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8.3320312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7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>
        <v>549801</v>
      </c>
      <c r="B2" s="131" t="inlineStr">
        <is>
          <t>3:30:00</t>
        </is>
      </c>
      <c r="C2" s="91" t="inlineStr">
        <is>
          <t>TST &gt; AP</t>
        </is>
      </c>
      <c r="D2" s="388" t="inlineStr">
        <is>
          <t>Eva TZ9800 97062468</t>
        </is>
      </c>
      <c r="E2" s="91" t="n"/>
      <c r="F2" s="111" t="inlineStr">
        <is>
          <t>3:38:00</t>
        </is>
      </c>
      <c r="G2" s="111" t="inlineStr">
        <is>
          <t>4:06:00</t>
        </is>
      </c>
      <c r="H2" s="91" t="n"/>
      <c r="I2" s="389" t="n"/>
      <c r="J2" s="91" t="inlineStr">
        <is>
          <t>OT$60</t>
        </is>
      </c>
      <c r="K2" s="390" t="n">
        <v>60</v>
      </c>
      <c r="L2" s="391" t="n">
        <v>400</v>
      </c>
      <c r="M2" s="392">
        <f>K2+L2</f>
        <v/>
      </c>
      <c r="N2" s="392" t="n">
        <v>30</v>
      </c>
    </row>
    <row r="3" ht="17.25" customFormat="1" customHeight="1" s="110">
      <c r="A3" s="147" t="n">
        <v>549803</v>
      </c>
      <c r="B3" s="131" t="inlineStr">
        <is>
          <t>5:00:00</t>
        </is>
      </c>
      <c r="C3" s="91" t="inlineStr">
        <is>
          <t>TST &gt; AP</t>
        </is>
      </c>
      <c r="D3" s="388" t="inlineStr">
        <is>
          <t>Ricky 黎 ZJ6071 51089715</t>
        </is>
      </c>
      <c r="E3" s="91" t="n"/>
      <c r="F3" s="111" t="inlineStr">
        <is>
          <t>05:00:00</t>
        </is>
      </c>
      <c r="G3" s="111" t="inlineStr">
        <is>
          <t>05:33:00</t>
        </is>
      </c>
      <c r="H3" s="39" t="n"/>
      <c r="I3" s="393" t="n"/>
      <c r="J3" s="39" t="inlineStr">
        <is>
          <t>OT$60</t>
        </is>
      </c>
      <c r="K3" s="392" t="n">
        <v>60</v>
      </c>
      <c r="L3" s="394" t="n">
        <v>400</v>
      </c>
      <c r="M3" s="392">
        <f>K3+L3</f>
        <v/>
      </c>
      <c r="N3" s="392" t="n">
        <v>30</v>
      </c>
    </row>
    <row r="4" ht="17.25" customFormat="1" customHeight="1" s="110">
      <c r="A4" s="147" t="n">
        <v>549802</v>
      </c>
      <c r="B4" s="131" t="inlineStr">
        <is>
          <t>3:30:00</t>
        </is>
      </c>
      <c r="C4" s="91" t="inlineStr">
        <is>
          <t>MB179 &gt; TST</t>
        </is>
      </c>
      <c r="D4" s="388" t="inlineStr">
        <is>
          <t>Ricky 黎 ZJ6071 51089715</t>
        </is>
      </c>
      <c r="E4" s="91" t="n"/>
      <c r="F4" s="111" t="inlineStr">
        <is>
          <t>04:06:00</t>
        </is>
      </c>
      <c r="G4" s="111" t="inlineStr">
        <is>
          <t>04:35:00</t>
        </is>
      </c>
      <c r="H4" s="39" t="n"/>
      <c r="I4" s="393" t="n"/>
      <c r="J4" s="39" t="inlineStr">
        <is>
          <t>OT$60 P$35</t>
        </is>
      </c>
      <c r="K4" s="392" t="n">
        <v>95</v>
      </c>
      <c r="L4" s="394" t="n">
        <v>400</v>
      </c>
      <c r="M4" s="392">
        <f>K4+L4</f>
        <v/>
      </c>
      <c r="N4" s="392" t="n">
        <v>30</v>
      </c>
    </row>
    <row r="5" ht="17.25" customFormat="1" customHeight="1" s="110">
      <c r="A5" s="89" t="n">
        <v>549802</v>
      </c>
      <c r="B5" s="48" t="inlineStr">
        <is>
          <t>3:30:00</t>
        </is>
      </c>
      <c r="C5" s="99" t="inlineStr">
        <is>
          <t>MB179 &gt; TST</t>
        </is>
      </c>
      <c r="D5" s="99" t="inlineStr">
        <is>
          <t>Cheuk/卓師傅 CK9898</t>
        </is>
      </c>
      <c r="E5" s="91" t="n"/>
      <c r="F5" s="111" t="inlineStr">
        <is>
          <t>04:06:00</t>
        </is>
      </c>
      <c r="G5" s="111" t="inlineStr">
        <is>
          <t>04:35:00</t>
        </is>
      </c>
      <c r="H5" s="39" t="n"/>
      <c r="I5" s="393" t="n"/>
      <c r="J5" s="39" t="inlineStr">
        <is>
          <t>OT$60 P$35</t>
        </is>
      </c>
      <c r="K5" s="392" t="n">
        <v>95</v>
      </c>
      <c r="L5" s="391" t="n">
        <v>400</v>
      </c>
      <c r="M5" s="392">
        <f>K5+L5</f>
        <v/>
      </c>
      <c r="N5" s="392" t="n">
        <v>30</v>
      </c>
    </row>
    <row r="6" ht="17.25" customFormat="1" customHeight="1" s="110">
      <c r="A6" s="147" t="n">
        <v>549798</v>
      </c>
      <c r="B6" s="131" t="inlineStr">
        <is>
          <t>19:40:00</t>
        </is>
      </c>
      <c r="C6" s="91" t="inlineStr">
        <is>
          <t>TST &gt; AP</t>
        </is>
      </c>
      <c r="D6" s="388" t="inlineStr">
        <is>
          <t>Keith CK9898 98880261</t>
        </is>
      </c>
      <c r="E6" s="91" t="n"/>
      <c r="F6" s="111" t="inlineStr">
        <is>
          <t>19:40</t>
        </is>
      </c>
      <c r="G6" s="111" t="inlineStr">
        <is>
          <t>20:10</t>
        </is>
      </c>
      <c r="H6" s="39" t="n"/>
      <c r="I6" s="393" t="n"/>
      <c r="J6" s="39" t="n"/>
      <c r="K6" s="392" t="n">
        <v>0</v>
      </c>
      <c r="L6" s="394" t="n">
        <v>400</v>
      </c>
      <c r="M6" s="392">
        <f>K6+L6</f>
        <v/>
      </c>
      <c r="N6" s="392" t="n">
        <v>30</v>
      </c>
    </row>
    <row r="7" ht="17.25" customFormat="1" customHeight="1" s="110">
      <c r="A7" s="147" t="n">
        <v>550092</v>
      </c>
      <c r="B7" s="131" t="inlineStr">
        <is>
          <t>16:30:00</t>
        </is>
      </c>
      <c r="C7" s="91" t="inlineStr">
        <is>
          <t>UO725 &gt; Regent</t>
        </is>
      </c>
      <c r="D7" s="388" t="inlineStr">
        <is>
          <t>Eva TZ9800 97062468</t>
        </is>
      </c>
      <c r="E7" s="91" t="n"/>
      <c r="F7" s="111" t="inlineStr">
        <is>
          <t>18:20</t>
        </is>
      </c>
      <c r="G7" s="111" t="inlineStr">
        <is>
          <t>18:53</t>
        </is>
      </c>
      <c r="H7" s="39" t="n"/>
      <c r="I7" s="393" t="n"/>
      <c r="J7" s="39" t="inlineStr">
        <is>
          <t>P$35</t>
        </is>
      </c>
      <c r="K7" s="392" t="n">
        <v>35</v>
      </c>
      <c r="L7" s="394" t="n">
        <v>400</v>
      </c>
      <c r="M7" s="392">
        <f>K7+L7</f>
        <v/>
      </c>
      <c r="N7" s="392" t="n">
        <v>30</v>
      </c>
    </row>
    <row r="8" ht="17.25" customFormat="1" customHeight="1" s="6">
      <c r="A8" s="89" t="n">
        <v>550129</v>
      </c>
      <c r="B8" s="48" t="inlineStr">
        <is>
          <t>17:55:00</t>
        </is>
      </c>
      <c r="C8" s="99" t="inlineStr">
        <is>
          <t>QF29 &gt; 淺水灣</t>
        </is>
      </c>
      <c r="D8" s="99" t="inlineStr">
        <is>
          <t>龍 JL667 66266144</t>
        </is>
      </c>
      <c r="E8" s="91" t="n"/>
      <c r="F8" s="111" t="inlineStr">
        <is>
          <t>18:40</t>
        </is>
      </c>
      <c r="G8" s="111" t="inlineStr">
        <is>
          <t>19:30</t>
        </is>
      </c>
      <c r="H8" s="39" t="n"/>
      <c r="I8" s="393" t="n"/>
      <c r="J8" s="377" t="inlineStr">
        <is>
          <t>南60 西40 35P</t>
        </is>
      </c>
      <c r="K8" s="392" t="n">
        <v>135</v>
      </c>
      <c r="L8" s="391" t="n">
        <v>460</v>
      </c>
      <c r="M8" s="392">
        <f>K8+L8</f>
        <v/>
      </c>
      <c r="N8" s="392" t="n">
        <v>30</v>
      </c>
    </row>
    <row r="9" ht="17.25" customFormat="1" customHeight="1" s="110">
      <c r="A9" s="147" t="n">
        <v>549799</v>
      </c>
      <c r="B9" s="131" t="inlineStr">
        <is>
          <t>14:10:00</t>
        </is>
      </c>
      <c r="C9" s="91" t="inlineStr">
        <is>
          <t>MB6564 &gt; TST</t>
        </is>
      </c>
      <c r="D9" s="388" t="inlineStr">
        <is>
          <t>Stanley梁 LJ9800</t>
        </is>
      </c>
      <c r="E9" s="91" t="n"/>
      <c r="F9" s="111" t="inlineStr">
        <is>
          <t>15:45</t>
        </is>
      </c>
      <c r="G9" s="111" t="inlineStr">
        <is>
          <t>16:29</t>
        </is>
      </c>
      <c r="H9" s="91" t="n"/>
      <c r="I9" s="389" t="n"/>
      <c r="J9" s="91" t="n"/>
      <c r="K9" s="390" t="n">
        <v>35</v>
      </c>
      <c r="L9" s="391" t="n">
        <v>400</v>
      </c>
      <c r="M9" s="392">
        <f>K9+L9</f>
        <v/>
      </c>
      <c r="N9" s="392" t="n">
        <v>30</v>
      </c>
    </row>
    <row r="10" ht="16.8" customFormat="1" customHeight="1" s="110">
      <c r="A10" s="147" t="n">
        <v>549799</v>
      </c>
      <c r="B10" s="131" t="inlineStr">
        <is>
          <t>14:10:00</t>
        </is>
      </c>
      <c r="C10" s="91" t="inlineStr">
        <is>
          <t>MB6564 &gt; TST</t>
        </is>
      </c>
      <c r="D10" s="388" t="inlineStr">
        <is>
          <t>Keith CK9898 98880261</t>
        </is>
      </c>
      <c r="E10" s="91" t="n"/>
      <c r="F10" s="111" t="inlineStr">
        <is>
          <t>15:45</t>
        </is>
      </c>
      <c r="G10" s="111" t="inlineStr">
        <is>
          <t>16:29</t>
        </is>
      </c>
      <c r="H10" s="91" t="n"/>
      <c r="I10" s="389" t="n"/>
      <c r="J10" s="91" t="n"/>
      <c r="K10" s="390" t="n">
        <v>35</v>
      </c>
      <c r="L10" s="391" t="n">
        <v>400</v>
      </c>
      <c r="M10" s="392">
        <f>K10+L10</f>
        <v/>
      </c>
      <c r="N10" s="392" t="n">
        <v>30</v>
      </c>
    </row>
    <row r="11" ht="17.25" customFormat="1" customHeight="1" s="110">
      <c r="A11" s="147" t="n">
        <v>550092</v>
      </c>
      <c r="B11" s="131" t="inlineStr">
        <is>
          <t>16:30:00</t>
        </is>
      </c>
      <c r="C11" s="91" t="inlineStr">
        <is>
          <t>UO725 &gt; Regent</t>
        </is>
      </c>
      <c r="D11" s="388" t="inlineStr">
        <is>
          <t>Eva TZ9800 97062468</t>
        </is>
      </c>
      <c r="E11" s="91" t="n"/>
      <c r="F11" s="111" t="inlineStr">
        <is>
          <t>18:20</t>
        </is>
      </c>
      <c r="G11" s="111" t="inlineStr">
        <is>
          <t>18:53</t>
        </is>
      </c>
      <c r="H11" s="39" t="n"/>
      <c r="I11" s="393" t="n"/>
      <c r="J11" s="39" t="inlineStr">
        <is>
          <t>P$35</t>
        </is>
      </c>
      <c r="K11" s="392" t="n">
        <v>35</v>
      </c>
      <c r="L11" s="394" t="n">
        <v>400</v>
      </c>
      <c r="M11" s="392">
        <f>K11+L11</f>
        <v/>
      </c>
      <c r="N11" s="392" t="n">
        <v>30</v>
      </c>
    </row>
    <row r="12" ht="17.25" customFormat="1" customHeight="1" s="6">
      <c r="A12" s="89" t="inlineStr">
        <is>
          <t>549995</t>
        </is>
      </c>
      <c r="B12" s="131" t="n">
        <v>0.3611111111111111</v>
      </c>
      <c r="C12" s="99" t="inlineStr">
        <is>
          <t>AP &gt; Cordis</t>
        </is>
      </c>
      <c r="D12" s="388" t="inlineStr">
        <is>
          <t>Stanley梁 LJ9800</t>
        </is>
      </c>
      <c r="E12" s="91" t="n"/>
      <c r="F12" s="111" t="n">
        <v>0.3888888888888889</v>
      </c>
      <c r="G12" s="111" t="n">
        <v>0.4097222222222222</v>
      </c>
      <c r="H12" s="39" t="n"/>
      <c r="I12" s="393" t="n"/>
      <c r="J12" s="39" t="inlineStr">
        <is>
          <t>P$35</t>
        </is>
      </c>
      <c r="K12" s="392" t="n">
        <v>35</v>
      </c>
      <c r="L12" s="391" t="n">
        <v>400</v>
      </c>
      <c r="M12" s="392">
        <f>K12+L12</f>
        <v/>
      </c>
      <c r="N12" s="392" t="n">
        <v>30</v>
      </c>
    </row>
    <row r="13" ht="17.25" customFormat="1" customHeight="1" s="6">
      <c r="A13" s="89" t="inlineStr">
        <is>
          <t>550002</t>
        </is>
      </c>
      <c r="B13" s="48" t="n">
        <v>0.4340277777777778</v>
      </c>
      <c r="C13" s="99" t="inlineStr">
        <is>
          <t>Cordis &gt; AP</t>
        </is>
      </c>
      <c r="D13" s="99" t="inlineStr">
        <is>
          <t>Keith CK9898 98880261</t>
        </is>
      </c>
      <c r="E13" s="91" t="n"/>
      <c r="F13" s="111" t="n">
        <v>0.4375</v>
      </c>
      <c r="G13" s="111" t="n">
        <v>0.4583333333333333</v>
      </c>
      <c r="H13" s="39" t="n"/>
      <c r="I13" s="393" t="n"/>
      <c r="J13" s="39" t="n"/>
      <c r="K13" s="392" t="n"/>
      <c r="L13" s="391" t="n">
        <v>400</v>
      </c>
      <c r="M13" s="392">
        <f>K13+L13</f>
        <v/>
      </c>
      <c r="N13" s="392" t="n">
        <v>30</v>
      </c>
    </row>
    <row r="14" ht="17.25" customHeight="1" s="374">
      <c r="A14" s="89" t="inlineStr">
        <is>
          <t>550002</t>
        </is>
      </c>
      <c r="B14" s="48" t="n">
        <v>0.4340277777777778</v>
      </c>
      <c r="C14" s="99" t="inlineStr">
        <is>
          <t>Cordis &gt; AP</t>
        </is>
      </c>
      <c r="D14" s="388" t="inlineStr">
        <is>
          <t>Stanley梁 LJ9800</t>
        </is>
      </c>
      <c r="E14" s="39" t="n"/>
      <c r="F14" s="111" t="n">
        <v>0.4375</v>
      </c>
      <c r="G14" s="111" t="n">
        <v>0.4583333333333333</v>
      </c>
      <c r="H14" s="39" t="n"/>
      <c r="I14" s="393" t="n"/>
      <c r="J14" s="39" t="n"/>
      <c r="K14" s="392" t="n"/>
      <c r="L14" s="391" t="n">
        <v>400</v>
      </c>
      <c r="M14" s="392">
        <f>K14+L14</f>
        <v/>
      </c>
      <c r="N14" s="392" t="n">
        <v>30</v>
      </c>
    </row>
    <row r="15" ht="17.25" customHeight="1" s="374">
      <c r="A15" s="47" t="inlineStr">
        <is>
          <t>548796</t>
        </is>
      </c>
      <c r="B15" s="48" t="n">
        <v>0.3333333333333333</v>
      </c>
      <c r="C15" s="39" t="inlineStr">
        <is>
          <t>K11 Onhire 6hrs</t>
        </is>
      </c>
      <c r="D15" s="405" t="inlineStr">
        <is>
          <t>Eva TZ9800 97062468</t>
        </is>
      </c>
      <c r="E15" s="39" t="n"/>
      <c r="F15" s="40" t="n">
        <v>0.3333333333333333</v>
      </c>
      <c r="G15" s="40" t="n">
        <v>0.5736111111111111</v>
      </c>
      <c r="H15" s="39" t="n"/>
      <c r="I15" s="393" t="n"/>
      <c r="J15" s="426" t="inlineStr">
        <is>
          <t>機場  60P</t>
        </is>
      </c>
      <c r="K15" s="392" t="n">
        <v>260</v>
      </c>
      <c r="L15" s="391">
        <f>6*230</f>
        <v/>
      </c>
      <c r="M15" s="392">
        <f>K15+L15</f>
        <v/>
      </c>
      <c r="N15" s="392" t="n">
        <v>30</v>
      </c>
    </row>
    <row r="16" ht="17.25" customHeight="1" s="374">
      <c r="A16" s="45" t="inlineStr">
        <is>
          <t>549800</t>
        </is>
      </c>
      <c r="B16" s="46" t="n">
        <v>0.8819444444444444</v>
      </c>
      <c r="C16" s="39" t="inlineStr">
        <is>
          <t>TST &gt; AP</t>
        </is>
      </c>
      <c r="D16" s="399" t="inlineStr">
        <is>
          <t>Stanley梁 LJ9800</t>
        </is>
      </c>
      <c r="E16" s="39" t="n"/>
      <c r="F16" s="40" t="n">
        <v>0.8784722222222222</v>
      </c>
      <c r="G16" s="40" t="n">
        <v>0.8993055555555556</v>
      </c>
      <c r="H16" s="39" t="n"/>
      <c r="I16" s="393" t="n"/>
      <c r="J16" s="404" t="n"/>
      <c r="K16" s="392" t="n"/>
      <c r="L16" s="392" t="n">
        <v>400</v>
      </c>
      <c r="M16" s="392">
        <f>K16+L16</f>
        <v/>
      </c>
      <c r="N16" s="392" t="n">
        <v>30</v>
      </c>
    </row>
    <row r="17" ht="17.25" customHeight="1" s="374">
      <c r="A17" s="45" t="inlineStr">
        <is>
          <t>549800</t>
        </is>
      </c>
      <c r="B17" s="46" t="n">
        <v>0.8819444444444444</v>
      </c>
      <c r="C17" s="39" t="inlineStr">
        <is>
          <t>TST &gt; AP</t>
        </is>
      </c>
      <c r="D17" s="399" t="inlineStr">
        <is>
          <t>Keith CK9898 98880261</t>
        </is>
      </c>
      <c r="E17" s="39" t="n"/>
      <c r="F17" s="40" t="n">
        <v>0.8784722222222222</v>
      </c>
      <c r="G17" s="40" t="n">
        <v>0.8993055555555556</v>
      </c>
      <c r="H17" s="39" t="n"/>
      <c r="I17" s="393" t="n"/>
      <c r="J17" s="404" t="n"/>
      <c r="K17" s="392" t="n"/>
      <c r="L17" s="392" t="n">
        <v>400</v>
      </c>
      <c r="M17" s="392">
        <f>K17+L17</f>
        <v/>
      </c>
      <c r="N17" s="392" t="n">
        <v>30</v>
      </c>
    </row>
    <row r="18" ht="17.25" customHeight="1" s="374">
      <c r="A18" s="51" t="inlineStr">
        <is>
          <t>550149</t>
        </is>
      </c>
      <c r="B18" s="62" t="n">
        <v>0.90625</v>
      </c>
      <c r="C18" s="53" t="inlineStr">
        <is>
          <t>MK&gt;AP</t>
        </is>
      </c>
      <c r="D18" s="381" t="inlineStr">
        <is>
          <t>IVAN 王師傅</t>
        </is>
      </c>
      <c r="E18" s="53" t="n"/>
      <c r="F18" s="61" t="n">
        <v>0.9076388888888889</v>
      </c>
      <c r="G18" s="61" t="n">
        <v>0.925</v>
      </c>
      <c r="H18" s="53" t="n"/>
      <c r="I18" s="403" t="n"/>
      <c r="J18" s="406" t="n"/>
      <c r="K18" s="400" t="n"/>
      <c r="L18" s="400" t="n">
        <v>400</v>
      </c>
      <c r="M18" s="392">
        <f>K18+L18</f>
        <v/>
      </c>
      <c r="N18" s="392" t="n">
        <v>30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392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392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392">
        <f>K21+L21</f>
        <v/>
      </c>
      <c r="N21" s="392" t="n">
        <v>0</v>
      </c>
    </row>
    <row r="22">
      <c r="A22" s="51" t="n"/>
      <c r="B22" s="62" t="n"/>
      <c r="C22" s="53" t="n"/>
      <c r="D22" s="40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392">
        <f>K22+L22</f>
        <v/>
      </c>
      <c r="N22" s="392" t="n">
        <v>0</v>
      </c>
    </row>
    <row r="23">
      <c r="A23" s="114" t="n"/>
      <c r="B23" s="8" t="n"/>
      <c r="C23" s="115" t="n"/>
      <c r="D23" s="402" t="n"/>
      <c r="E23" s="53" t="n"/>
      <c r="F23" s="54" t="n"/>
      <c r="G23" s="54" t="n"/>
      <c r="H23" s="53" t="n"/>
      <c r="I23" s="403" t="n"/>
      <c r="J23" s="406" t="n"/>
      <c r="K23" s="400" t="n"/>
      <c r="L23" s="400" t="n"/>
      <c r="M23" s="392">
        <f>K23+L23</f>
        <v/>
      </c>
      <c r="N23" s="392" t="n">
        <v>0</v>
      </c>
    </row>
    <row r="24">
      <c r="A24" s="114" t="n"/>
      <c r="B24" s="8" t="n"/>
      <c r="C24" s="115" t="n"/>
      <c r="D24" s="402" t="n"/>
      <c r="E24" s="53" t="n"/>
      <c r="F24" s="54" t="n"/>
      <c r="G24" s="54" t="n"/>
      <c r="H24" s="53" t="n"/>
      <c r="I24" s="403" t="n"/>
      <c r="J24" s="406" t="n"/>
      <c r="K24" s="400" t="n"/>
      <c r="L24" s="400" t="n"/>
      <c r="M24" s="392">
        <f>K24+L24</f>
        <v/>
      </c>
      <c r="N24" s="392" t="n">
        <v>0</v>
      </c>
    </row>
    <row r="25">
      <c r="A25" s="114" t="n"/>
      <c r="B25" s="8" t="n"/>
      <c r="C25" s="72" t="n"/>
      <c r="D25" s="402" t="n"/>
      <c r="E25" s="53" t="n"/>
      <c r="F25" s="54" t="n"/>
      <c r="G25" s="54" t="n"/>
      <c r="H25" s="53" t="n"/>
      <c r="I25" s="403" t="n"/>
      <c r="J25" s="406" t="n"/>
      <c r="K25" s="400" t="n"/>
      <c r="L25" s="400" t="n"/>
      <c r="M25" s="392">
        <f>K25+L25</f>
        <v/>
      </c>
      <c r="N25" s="392" t="n">
        <v>0</v>
      </c>
    </row>
    <row r="26">
      <c r="A26" s="114" t="n"/>
      <c r="B26" s="8" t="n"/>
      <c r="C26" s="72" t="n"/>
      <c r="D26" s="402" t="n"/>
      <c r="E26" s="53" t="n"/>
      <c r="F26" s="54" t="n"/>
      <c r="G26" s="54" t="n"/>
      <c r="H26" s="53" t="n"/>
      <c r="I26" s="403" t="n"/>
      <c r="J26" s="406" t="n"/>
      <c r="K26" s="400" t="n"/>
      <c r="L26" s="400" t="n"/>
      <c r="M26" s="392">
        <f>K26+L26</f>
        <v/>
      </c>
      <c r="N26" s="392" t="n">
        <v>0</v>
      </c>
    </row>
    <row r="27">
      <c r="A27" s="1" t="n"/>
      <c r="B27" s="62" t="n"/>
      <c r="C27" s="116" t="n"/>
      <c r="D27" s="402" t="n"/>
      <c r="E27" s="53" t="n"/>
      <c r="F27" s="54" t="n"/>
      <c r="G27" s="54" t="n"/>
      <c r="H27" s="408" t="n"/>
      <c r="I27" s="403" t="n"/>
      <c r="J27" s="406" t="n"/>
      <c r="K27" s="400" t="n"/>
      <c r="L27" s="400" t="n"/>
      <c r="M27" s="392">
        <f>K27+L27</f>
        <v/>
      </c>
      <c r="N27" s="392" t="n">
        <v>0</v>
      </c>
    </row>
    <row r="28">
      <c r="A28" s="114" t="n"/>
      <c r="B28" s="52" t="n"/>
      <c r="C28" s="117" t="n"/>
      <c r="D28" s="402" t="n"/>
      <c r="E28" s="53" t="n"/>
      <c r="F28" s="54" t="n"/>
      <c r="G28" s="54" t="n"/>
      <c r="H28" s="408" t="n"/>
      <c r="I28" s="403" t="n"/>
      <c r="J28" s="406" t="n"/>
      <c r="K28" s="400" t="n"/>
      <c r="L28" s="400" t="n"/>
      <c r="M28" s="400" t="n"/>
      <c r="N28" s="392" t="n">
        <v>0</v>
      </c>
    </row>
    <row r="29">
      <c r="A29" s="114" t="n"/>
      <c r="B29" s="52" t="n"/>
      <c r="C29" s="117" t="n"/>
      <c r="D29" s="402" t="n"/>
      <c r="E29" s="53" t="n"/>
      <c r="F29" s="54" t="n"/>
      <c r="G29" s="54" t="n"/>
      <c r="H29" s="53" t="n"/>
      <c r="I29" s="403" t="n"/>
      <c r="J29" s="406" t="n"/>
      <c r="K29" s="400" t="n"/>
      <c r="L29" s="400" t="n"/>
      <c r="M29" s="400" t="n"/>
      <c r="N29" s="392" t="n">
        <v>0</v>
      </c>
    </row>
    <row r="30">
      <c r="A30" s="114" t="n"/>
      <c r="B30" s="52" t="n"/>
      <c r="C30" s="115" t="n"/>
      <c r="D30" s="402" t="n"/>
      <c r="E30" s="53" t="n"/>
      <c r="F30" s="54" t="n"/>
      <c r="G30" s="54" t="n"/>
      <c r="H30" s="53" t="n"/>
      <c r="I30" s="403" t="n"/>
      <c r="J30" s="409" t="n"/>
      <c r="K30" s="410" t="n"/>
      <c r="L30" s="410" t="n"/>
      <c r="M30" s="400" t="n"/>
      <c r="N30" s="392" t="n">
        <v>0</v>
      </c>
    </row>
    <row r="31">
      <c r="A31" s="114" t="n"/>
      <c r="B31" s="52" t="n"/>
      <c r="C31" s="53" t="n"/>
      <c r="D31" s="402" t="n"/>
      <c r="E31" s="53" t="n"/>
      <c r="F31" s="54" t="n"/>
      <c r="G31" s="54" t="n"/>
      <c r="H31" s="53" t="n"/>
      <c r="I31" s="403" t="n"/>
      <c r="J31" s="409" t="n"/>
      <c r="K31" s="410" t="n"/>
      <c r="L31" s="410" t="n"/>
      <c r="M31" s="400" t="n"/>
      <c r="N31" s="392" t="n">
        <v>0</v>
      </c>
    </row>
    <row r="32">
      <c r="A32" s="114" t="n"/>
      <c r="B32" s="52" t="n"/>
      <c r="C32" s="53" t="n"/>
      <c r="D32" s="402" t="n"/>
      <c r="E32" s="53" t="n"/>
      <c r="F32" s="54" t="n"/>
      <c r="G32" s="54" t="n"/>
      <c r="H32" s="408" t="n"/>
      <c r="I32" s="403" t="n"/>
      <c r="J32" s="409" t="n"/>
      <c r="K32" s="410" t="n"/>
      <c r="L32" s="410" t="n"/>
      <c r="M32" s="400" t="n"/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 t="n"/>
      <c r="N33" s="392" t="n">
        <v>0</v>
      </c>
    </row>
    <row r="34">
      <c r="A34" s="14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 t="n"/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 t="n"/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 t="n"/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13" t="n"/>
      <c r="K37" s="414" t="n"/>
      <c r="L37" s="414" t="n"/>
      <c r="M37" s="415" t="n"/>
      <c r="N37" s="390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17" t="n"/>
      <c r="K38" s="418" t="n"/>
      <c r="L38" s="418" t="n"/>
      <c r="M38" s="418" t="n"/>
      <c r="N38" s="419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42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 t="n"/>
      <c r="N40" s="423" t="n"/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4"/>
  <sheetViews>
    <sheetView topLeftCell="C1" zoomScale="80" zoomScaleNormal="80" workbookViewId="0">
      <selection activeCell="G28" sqref="G28"/>
    </sheetView>
  </sheetViews>
  <sheetFormatPr baseColWidth="8" defaultColWidth="8.77734375" defaultRowHeight="16.2"/>
  <cols>
    <col width="9.88671875" customWidth="1" style="226" min="1" max="1"/>
    <col width="60.109375" customWidth="1" style="374" min="3" max="3"/>
    <col width="27.777343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48.77734375" customWidth="1" style="379" min="10" max="10"/>
    <col width="9" bestFit="1" customWidth="1" style="380" min="11" max="12"/>
    <col width="15.21875" customWidth="1" style="380" min="13" max="13"/>
  </cols>
  <sheetData>
    <row r="1">
      <c r="A1" s="89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58" t="n">
        <v>548797</v>
      </c>
      <c r="B2" s="118" t="inlineStr">
        <is>
          <t>15:00</t>
        </is>
      </c>
      <c r="C2" s="177" t="inlineStr">
        <is>
          <t>K11-東涌-映灣園-k11</t>
        </is>
      </c>
      <c r="D2" s="399" t="inlineStr">
        <is>
          <t>Eva TZ9800 97062468</t>
        </is>
      </c>
      <c r="E2" s="91" t="inlineStr">
        <is>
          <t>Done</t>
        </is>
      </c>
      <c r="F2" s="111" t="inlineStr">
        <is>
          <t>15:00</t>
        </is>
      </c>
      <c r="G2" s="111" t="inlineStr">
        <is>
          <t>18:56</t>
        </is>
      </c>
      <c r="H2" s="91" t="inlineStr">
        <is>
          <t>東涌附加費$200, 停車場$57</t>
        </is>
      </c>
      <c r="I2" s="389" t="inlineStr">
        <is>
          <t>15:00</t>
        </is>
      </c>
      <c r="J2" s="404" t="inlineStr">
        <is>
          <t>Eva TZ9800 97062468</t>
        </is>
      </c>
      <c r="K2" s="390" t="n">
        <v>200</v>
      </c>
      <c r="L2" s="392" t="n">
        <v>57</v>
      </c>
      <c r="M2" s="400" t="n">
        <v>400</v>
      </c>
      <c r="N2" s="392" t="n">
        <v>657</v>
      </c>
      <c r="O2" t="n">
        <v>30</v>
      </c>
    </row>
    <row r="3" ht="17.25" customFormat="1" customHeight="1" s="110">
      <c r="A3" s="147" t="n"/>
      <c r="B3" s="46" t="n"/>
      <c r="C3" s="91" t="n"/>
      <c r="D3" s="399" t="n"/>
      <c r="E3" s="102" t="n"/>
      <c r="F3" s="111" t="n"/>
      <c r="G3" s="111" t="n"/>
      <c r="H3" s="39" t="n"/>
      <c r="I3" s="393" t="n"/>
      <c r="J3" s="393" t="n"/>
      <c r="K3" s="397" t="n"/>
      <c r="L3" s="391" t="n"/>
      <c r="M3" s="400">
        <f>SUM(K3:L3)</f>
        <v/>
      </c>
      <c r="N3" s="392" t="n">
        <v>0</v>
      </c>
    </row>
    <row r="4" ht="17.25" customFormat="1" customHeight="1" s="110">
      <c r="A4" s="147" t="n"/>
      <c r="B4" s="131" t="n"/>
      <c r="C4" s="91" t="n"/>
      <c r="D4" s="399" t="n"/>
      <c r="E4" s="91" t="n"/>
      <c r="F4" s="111" t="n"/>
      <c r="G4" s="111" t="n"/>
      <c r="H4" s="91" t="n"/>
      <c r="I4" s="389" t="n"/>
      <c r="J4" s="404" t="n"/>
      <c r="K4" s="390" t="n"/>
      <c r="L4" s="392" t="n"/>
      <c r="M4" s="400">
        <f>SUM(K4:L4)</f>
        <v/>
      </c>
      <c r="N4" s="392" t="n">
        <v>0</v>
      </c>
    </row>
    <row r="5" ht="17.25" customFormat="1" customHeight="1" s="110">
      <c r="A5" s="147" t="n"/>
      <c r="B5" s="131" t="n"/>
      <c r="C5" s="91" t="n"/>
      <c r="D5" s="399" t="n"/>
      <c r="E5" s="91" t="n"/>
      <c r="F5" s="111" t="n"/>
      <c r="G5" s="111" t="n"/>
      <c r="H5" s="91" t="n"/>
      <c r="I5" s="389" t="n"/>
      <c r="J5" s="404" t="n"/>
      <c r="K5" s="390" t="n"/>
      <c r="L5" s="392" t="n"/>
      <c r="M5" s="400">
        <f>SUM(K5:L5)</f>
        <v/>
      </c>
      <c r="N5" s="392" t="n">
        <v>0</v>
      </c>
    </row>
    <row r="6" ht="17.25" customFormat="1" customHeight="1" s="110">
      <c r="A6" s="89" t="n"/>
      <c r="B6" s="48" t="n"/>
      <c r="C6" s="177" t="n"/>
      <c r="D6" s="399" t="n"/>
      <c r="E6" s="102" t="n"/>
      <c r="F6" s="111" t="n"/>
      <c r="G6" s="111" t="n"/>
      <c r="H6" s="39" t="n"/>
      <c r="I6" s="393" t="n"/>
      <c r="J6" s="404" t="n"/>
      <c r="K6" s="390" t="n"/>
      <c r="L6" s="391" t="n"/>
      <c r="M6" s="400">
        <f>SUM(K6:L6)</f>
        <v/>
      </c>
      <c r="N6" s="392" t="n">
        <v>0</v>
      </c>
    </row>
    <row r="7" ht="17.25" customFormat="1" customHeight="1" s="110">
      <c r="A7" s="89" t="n"/>
      <c r="B7" s="48" t="n"/>
      <c r="C7" s="177" t="n"/>
      <c r="D7" s="399" t="n"/>
      <c r="E7" s="39" t="n"/>
      <c r="F7" s="40" t="n"/>
      <c r="G7" s="111" t="n"/>
      <c r="H7" s="39" t="n"/>
      <c r="I7" s="393" t="n"/>
      <c r="J7" s="404" t="n"/>
      <c r="K7" s="392" t="n"/>
      <c r="L7" s="391" t="n"/>
      <c r="M7" s="400">
        <f>SUM(K7:L7)</f>
        <v/>
      </c>
      <c r="N7" s="392" t="n">
        <v>0</v>
      </c>
    </row>
    <row r="8" ht="17.25" customFormat="1" customHeight="1" s="110">
      <c r="A8" s="89" t="n"/>
      <c r="B8" s="48" t="n"/>
      <c r="C8" s="99" t="n"/>
      <c r="D8" s="399" t="n"/>
      <c r="E8" s="39" t="n"/>
      <c r="F8" s="40" t="n"/>
      <c r="G8" s="40" t="n"/>
      <c r="H8" s="39" t="n"/>
      <c r="I8" s="393" t="n"/>
      <c r="J8" s="393" t="n"/>
      <c r="K8" s="392" t="n"/>
      <c r="L8" s="391" t="n"/>
      <c r="M8" s="400">
        <f>SUM(K8:L8)</f>
        <v/>
      </c>
      <c r="N8" s="392" t="n">
        <v>0</v>
      </c>
    </row>
    <row r="9" ht="17.25" customFormat="1" customHeight="1" s="110">
      <c r="A9" s="89" t="n"/>
      <c r="B9" s="48" t="n"/>
      <c r="C9" s="99" t="n"/>
      <c r="D9" s="399" t="n"/>
      <c r="E9" s="39" t="n"/>
      <c r="F9" s="40" t="n"/>
      <c r="G9" s="40" t="n"/>
      <c r="H9" s="39" t="n"/>
      <c r="I9" s="393" t="n"/>
      <c r="J9" s="393" t="n"/>
      <c r="K9" s="392" t="n"/>
      <c r="L9" s="391" t="n"/>
      <c r="M9" s="400">
        <f>SUM(K9:L9)</f>
        <v/>
      </c>
      <c r="N9" s="392" t="n">
        <v>0</v>
      </c>
    </row>
    <row r="10" ht="17.25" customFormat="1" customHeight="1" s="110">
      <c r="A10" s="89" t="n"/>
      <c r="B10" s="48" t="n"/>
      <c r="C10" s="99" t="n"/>
      <c r="D10" s="399" t="n"/>
      <c r="E10" s="39" t="n"/>
      <c r="F10" s="40" t="n"/>
      <c r="G10" s="40" t="n"/>
      <c r="H10" s="39" t="n"/>
      <c r="I10" s="393" t="n"/>
      <c r="J10" s="393" t="n"/>
      <c r="K10" s="397" t="n"/>
      <c r="L10" s="391" t="n"/>
      <c r="M10" s="400">
        <f>SUM(K10:L10)</f>
        <v/>
      </c>
      <c r="N10" s="392" t="n">
        <v>0</v>
      </c>
    </row>
    <row r="11" ht="17.25" customFormat="1" customHeight="1" s="110">
      <c r="A11" s="89" t="n"/>
      <c r="B11" s="48" t="n"/>
      <c r="C11" s="99" t="n"/>
      <c r="D11" s="399" t="n"/>
      <c r="E11" s="39" t="n"/>
      <c r="F11" s="40" t="n"/>
      <c r="G11" s="40" t="n"/>
      <c r="H11" s="39" t="n"/>
      <c r="I11" s="393" t="n"/>
      <c r="J11" s="393" t="n"/>
      <c r="K11" s="397" t="n"/>
      <c r="L11" s="391" t="n"/>
      <c r="M11" s="400">
        <f>SUM(K11:L11)</f>
        <v/>
      </c>
      <c r="N11" s="392" t="n">
        <v>0</v>
      </c>
    </row>
    <row r="12" ht="17.25" customFormat="1" customHeight="1" s="110">
      <c r="A12" s="89" t="n"/>
      <c r="B12" s="48" t="n"/>
      <c r="C12" s="99" t="n"/>
      <c r="D12" s="399" t="n"/>
      <c r="E12" s="39" t="n"/>
      <c r="F12" s="40" t="n"/>
      <c r="G12" s="40" t="n"/>
      <c r="H12" s="39" t="n"/>
      <c r="I12" s="393" t="n"/>
      <c r="J12" s="393" t="n"/>
      <c r="K12" s="397" t="n"/>
      <c r="L12" s="391" t="n"/>
      <c r="M12" s="400">
        <f>SUM(K12:L12)</f>
        <v/>
      </c>
      <c r="N12" s="392" t="n">
        <v>0</v>
      </c>
    </row>
    <row r="13" ht="17.25" customHeight="1" s="374">
      <c r="A13" s="45" t="n"/>
      <c r="B13" s="48" t="n"/>
      <c r="C13" s="39" t="n"/>
      <c r="D13" s="399" t="n"/>
      <c r="E13" s="39" t="n"/>
      <c r="F13" s="40" t="n"/>
      <c r="G13" s="40" t="n"/>
      <c r="H13" s="398" t="n"/>
      <c r="I13" s="393" t="n"/>
      <c r="J13" s="404" t="n"/>
      <c r="K13" s="392" t="n"/>
      <c r="L13" s="391" t="n"/>
      <c r="M13" s="400">
        <f>SUM(K13:L13)</f>
        <v/>
      </c>
      <c r="N13" s="392" t="n">
        <v>0</v>
      </c>
    </row>
    <row r="14" ht="17.25" customHeight="1" s="374">
      <c r="A14" s="47" t="n"/>
      <c r="B14" s="48" t="n"/>
      <c r="C14" s="39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SUM(K14:L14)</f>
        <v/>
      </c>
      <c r="N14" s="392" t="n">
        <v>0</v>
      </c>
    </row>
    <row r="15" ht="17.25" customHeight="1" s="374">
      <c r="A15" s="45" t="n"/>
      <c r="B15" s="48" t="n"/>
      <c r="C15" s="39" t="n"/>
      <c r="D15" s="399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SUM(K15:L15)</f>
        <v/>
      </c>
      <c r="N15" s="392" t="n">
        <v>0</v>
      </c>
    </row>
    <row r="16" ht="17.25" customHeight="1" s="374">
      <c r="A16" s="45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SUM(K16:L16)</f>
        <v/>
      </c>
      <c r="N16" s="392" t="n">
        <v>0</v>
      </c>
    </row>
    <row r="17" ht="17.25" customHeight="1" s="374">
      <c r="A17" s="47" t="n"/>
      <c r="B17" s="48" t="n"/>
      <c r="C17" s="39" t="n"/>
      <c r="D17" s="405" t="n"/>
      <c r="E17" s="39" t="n"/>
      <c r="F17" s="40" t="n"/>
      <c r="G17" s="40" t="n"/>
      <c r="H17" s="39" t="n"/>
      <c r="I17" s="393" t="n"/>
      <c r="J17" s="404" t="n"/>
      <c r="K17" s="392" t="n"/>
      <c r="L17" s="391" t="n"/>
      <c r="M17" s="400">
        <f>SUM(K17:L17)</f>
        <v/>
      </c>
      <c r="N17" s="392" t="n">
        <v>0</v>
      </c>
    </row>
    <row r="18" ht="17.25" customHeight="1" s="374">
      <c r="A18" s="45" t="n"/>
      <c r="B18" s="46" t="n"/>
      <c r="C18" s="39" t="n"/>
      <c r="D18" s="399" t="n"/>
      <c r="E18" s="39" t="n"/>
      <c r="F18" s="40" t="n"/>
      <c r="G18" s="40" t="n"/>
      <c r="H18" s="39" t="n"/>
      <c r="I18" s="393" t="n"/>
      <c r="J18" s="404" t="n"/>
      <c r="K18" s="392" t="n"/>
      <c r="L18" s="392" t="n"/>
      <c r="M18" s="400">
        <f>SUM(K18:L18)</f>
        <v/>
      </c>
      <c r="N18" s="392" t="n">
        <v>0</v>
      </c>
    </row>
    <row r="19" ht="17.25" customHeight="1" s="374">
      <c r="A19" s="45" t="n"/>
      <c r="B19" s="46" t="n"/>
      <c r="C19" s="39" t="n"/>
      <c r="D19" s="399" t="n"/>
      <c r="E19" s="39" t="n"/>
      <c r="F19" s="40" t="n"/>
      <c r="G19" s="40" t="n"/>
      <c r="H19" s="39" t="n"/>
      <c r="I19" s="393" t="n"/>
      <c r="J19" s="404" t="n"/>
      <c r="K19" s="392" t="n"/>
      <c r="L19" s="392" t="n"/>
      <c r="M19" s="400">
        <f>SUM(K19:L19)</f>
        <v/>
      </c>
      <c r="N19" s="392" t="n">
        <v>0</v>
      </c>
    </row>
    <row r="20" ht="17.25" customHeight="1" s="374">
      <c r="A20" s="45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SUM(K20:L20)</f>
        <v/>
      </c>
      <c r="N20" s="392" t="n">
        <v>0</v>
      </c>
    </row>
    <row r="21" ht="17.25" customHeight="1" s="374">
      <c r="A21" s="45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SUM(K21:L21)</f>
        <v/>
      </c>
      <c r="N21" s="392" t="n">
        <v>0</v>
      </c>
    </row>
    <row r="22" ht="17.25" customHeight="1" s="374">
      <c r="A22" s="45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SUM(K22:L22)</f>
        <v/>
      </c>
      <c r="N22" s="392" t="n">
        <v>0</v>
      </c>
    </row>
    <row r="23" ht="17.25" customHeight="1" s="374">
      <c r="A23" s="45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SUM(K23:L23)</f>
        <v/>
      </c>
      <c r="N23" s="392" t="n">
        <v>0</v>
      </c>
    </row>
    <row r="24" ht="17.25" customHeight="1" s="374">
      <c r="A24" s="45" t="n"/>
      <c r="B24" s="62" t="n"/>
      <c r="C24" s="53" t="n"/>
      <c r="D24" s="407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SUM(K24:L24)</f>
        <v/>
      </c>
      <c r="N24" s="392" t="n">
        <v>0</v>
      </c>
    </row>
    <row r="25" ht="17.25" customHeight="1" s="374">
      <c r="A25" s="45" t="n"/>
      <c r="B25" s="62" t="n"/>
      <c r="C25" s="53" t="n"/>
      <c r="D25" s="53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SUM(K25:L25)</f>
        <v/>
      </c>
      <c r="N25" s="392" t="n">
        <v>0</v>
      </c>
    </row>
    <row r="26">
      <c r="A26" s="45" t="n"/>
      <c r="B26" s="62" t="n"/>
      <c r="C26" s="53" t="n"/>
      <c r="D26" s="53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45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45" t="n"/>
      <c r="B28" s="62" t="n"/>
      <c r="C28" s="53" t="n"/>
      <c r="D28" s="427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45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45" t="n"/>
      <c r="B30" s="62" t="n"/>
      <c r="C30" s="53" t="n"/>
      <c r="D30" s="9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45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45" t="n"/>
      <c r="B32" s="62" t="n"/>
      <c r="C32" s="53" t="n"/>
      <c r="D32" s="381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45" t="n"/>
      <c r="B33" s="62" t="n"/>
      <c r="C33" s="53" t="n"/>
      <c r="D33" s="407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215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215" t="n"/>
      <c r="B35" s="15" t="n"/>
      <c r="C35" s="10" t="n"/>
      <c r="D35" s="41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215" t="n"/>
      <c r="B36" s="15" t="n"/>
      <c r="C36" s="10" t="n"/>
      <c r="D36" s="411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215" t="n"/>
      <c r="B37" s="15" t="n"/>
      <c r="C37" s="10" t="n"/>
      <c r="D37" s="381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204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204" t="n"/>
      <c r="B39" s="18" t="n"/>
      <c r="C39" s="10" t="n"/>
      <c r="D39" s="402" t="n"/>
      <c r="E39" s="10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2" t="n">
        <v>0</v>
      </c>
    </row>
    <row r="40">
      <c r="A40" s="217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17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17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autoFilter ref="A1:N39">
    <sortState ref="A2:N39">
      <sortCondition ref="B1:B3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5"/>
  <sheetViews>
    <sheetView topLeftCell="F1" workbookViewId="0">
      <selection activeCell="N2" sqref="N2:N6"/>
    </sheetView>
  </sheetViews>
  <sheetFormatPr baseColWidth="8" defaultColWidth="8.77734375" defaultRowHeight="16.2"/>
  <cols>
    <col width="9" customWidth="1" style="29" min="1" max="1"/>
    <col width="61.4414062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6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customFormat="1" s="6">
      <c r="A2" s="89" t="n">
        <v>548798</v>
      </c>
      <c r="B2" s="90" t="inlineStr">
        <is>
          <t>11:30</t>
        </is>
      </c>
      <c r="C2" s="39" t="inlineStr">
        <is>
          <t>K11-故宮-K11</t>
        </is>
      </c>
      <c r="D2" s="428" t="inlineStr">
        <is>
          <t>Eva TZ9800 97062468</t>
        </is>
      </c>
      <c r="E2" s="39" t="inlineStr">
        <is>
          <t>Done</t>
        </is>
      </c>
      <c r="F2" s="40" t="inlineStr">
        <is>
          <t>11:30</t>
        </is>
      </c>
      <c r="G2" s="40" t="inlineStr">
        <is>
          <t>16:25</t>
        </is>
      </c>
      <c r="H2" s="39" t="inlineStr">
        <is>
          <t>包車</t>
        </is>
      </c>
      <c r="I2" s="393" t="inlineStr">
        <is>
          <t>11:30</t>
        </is>
      </c>
      <c r="J2" s="393" t="inlineStr">
        <is>
          <t>Eva TZ9800 97062468</t>
        </is>
      </c>
      <c r="K2" s="392" t="n">
        <v>0</v>
      </c>
      <c r="L2" s="391" t="n">
        <v>0</v>
      </c>
      <c r="M2" s="400" t="n">
        <v>400</v>
      </c>
      <c r="N2" s="392" t="n">
        <v>1150</v>
      </c>
      <c r="O2" t="n">
        <v>30</v>
      </c>
    </row>
    <row r="3" customFormat="1" s="6">
      <c r="A3" s="45" t="n"/>
      <c r="B3" s="46" t="n"/>
      <c r="C3" s="39" t="n"/>
      <c r="D3" s="405" t="n"/>
      <c r="E3" s="39" t="n"/>
      <c r="F3" s="40" t="n"/>
      <c r="G3" s="40" t="n"/>
      <c r="H3" s="39" t="n"/>
      <c r="I3" s="393" t="n"/>
      <c r="J3" s="393" t="n"/>
      <c r="K3" s="396" t="n"/>
      <c r="L3" s="429" t="n"/>
      <c r="M3" s="400">
        <f>K3+L3</f>
        <v/>
      </c>
      <c r="N3" s="392" t="n">
        <v>0</v>
      </c>
    </row>
    <row r="4" customFormat="1" s="6">
      <c r="A4" s="47" t="n"/>
      <c r="B4" s="48" t="n"/>
      <c r="C4" s="39" t="n"/>
      <c r="D4" s="428" t="n"/>
      <c r="E4" s="39" t="n"/>
      <c r="F4" s="40" t="n"/>
      <c r="G4" s="40" t="n"/>
      <c r="H4" s="39" t="n"/>
      <c r="I4" s="393" t="n"/>
      <c r="J4" s="404" t="n"/>
      <c r="K4" s="392" t="n"/>
      <c r="L4" s="391" t="n"/>
      <c r="M4" s="400">
        <f>K4+L4</f>
        <v/>
      </c>
      <c r="N4" s="392" t="n">
        <v>0</v>
      </c>
    </row>
    <row r="5" customFormat="1" s="6">
      <c r="A5" s="45" t="n"/>
      <c r="B5" s="46" t="n"/>
      <c r="C5" s="39" t="n"/>
      <c r="D5" s="399" t="n"/>
      <c r="E5" s="39" t="n"/>
      <c r="F5" s="40" t="n"/>
      <c r="G5" s="40" t="n"/>
      <c r="H5" s="39" t="n"/>
      <c r="I5" s="393" t="n"/>
      <c r="J5" s="393" t="n"/>
      <c r="K5" s="396" t="n"/>
      <c r="L5" s="429" t="n"/>
      <c r="M5" s="400">
        <f>K5+L5</f>
        <v/>
      </c>
      <c r="N5" s="392" t="n">
        <v>0</v>
      </c>
    </row>
    <row r="6">
      <c r="A6" s="45" t="n"/>
      <c r="B6" s="48" t="n"/>
      <c r="C6" s="39" t="n"/>
      <c r="D6" s="428" t="n"/>
      <c r="E6" s="39" t="n"/>
      <c r="F6" s="40" t="n"/>
      <c r="G6" s="40" t="n"/>
      <c r="H6" s="39" t="n"/>
      <c r="I6" s="393" t="n"/>
      <c r="J6" s="393" t="n"/>
      <c r="K6" s="392" t="n"/>
      <c r="L6" s="391" t="n"/>
      <c r="M6" s="392">
        <f>K6+L6</f>
        <v/>
      </c>
      <c r="N6" s="392" t="n">
        <v>0</v>
      </c>
      <c r="O6" s="6" t="n"/>
      <c r="P6" s="6" t="n"/>
      <c r="Q6" s="6" t="n"/>
      <c r="R6" s="6" t="n"/>
    </row>
    <row r="7" customFormat="1" s="6">
      <c r="A7" s="89" t="n"/>
      <c r="B7" s="46" t="n"/>
      <c r="C7" s="99" t="n"/>
      <c r="D7" s="399" t="n"/>
      <c r="E7" s="39" t="n"/>
      <c r="F7" s="40" t="n"/>
      <c r="G7" s="40" t="n"/>
      <c r="H7" s="39" t="n"/>
      <c r="I7" s="393" t="n"/>
      <c r="J7" s="393" t="n"/>
      <c r="K7" s="392" t="n"/>
      <c r="L7" s="391" t="n"/>
      <c r="M7" s="392">
        <f>K7+L7</f>
        <v/>
      </c>
      <c r="N7" s="392" t="n">
        <v>0</v>
      </c>
    </row>
    <row r="8">
      <c r="A8" s="45" t="n"/>
      <c r="B8" s="46" t="n"/>
      <c r="C8" s="91" t="n"/>
      <c r="D8" s="428" t="n"/>
      <c r="E8" s="39" t="n"/>
      <c r="F8" s="40" t="n"/>
      <c r="G8" s="40" t="n"/>
      <c r="H8" s="39" t="n"/>
      <c r="I8" s="393" t="n"/>
      <c r="J8" s="404" t="n"/>
      <c r="K8" s="392" t="n"/>
      <c r="L8" s="392" t="n"/>
      <c r="M8" s="400">
        <f>K8+L8</f>
        <v/>
      </c>
      <c r="N8" s="392" t="n">
        <v>0</v>
      </c>
    </row>
    <row r="9">
      <c r="A9" s="45" t="n"/>
      <c r="B9" s="46" t="n"/>
      <c r="C9" s="91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2" t="n"/>
      <c r="M9" s="400">
        <f>K9+L9</f>
        <v/>
      </c>
      <c r="N9" s="392" t="n">
        <v>0</v>
      </c>
    </row>
    <row r="10">
      <c r="A10" s="47" t="n"/>
      <c r="B10" s="48" t="n"/>
      <c r="C10" s="91" t="n"/>
      <c r="D10" s="405" t="n"/>
      <c r="E10" s="39" t="n"/>
      <c r="F10" s="40" t="n"/>
      <c r="G10" s="40" t="n"/>
      <c r="H10" s="39" t="n"/>
      <c r="I10" s="393" t="n"/>
      <c r="J10" s="404" t="n"/>
      <c r="K10" s="392" t="n"/>
      <c r="L10" s="392" t="n"/>
      <c r="M10" s="400">
        <f>K10+L10</f>
        <v/>
      </c>
      <c r="N10" s="392" t="n">
        <v>0</v>
      </c>
    </row>
    <row r="11">
      <c r="A11" s="45" t="n"/>
      <c r="B11" s="46" t="n"/>
      <c r="C11" s="91" t="n"/>
      <c r="D11" s="428" t="n"/>
      <c r="E11" s="428" t="n"/>
      <c r="F11" s="40" t="n"/>
      <c r="G11" s="40" t="n"/>
      <c r="H11" s="39" t="n"/>
      <c r="I11" s="393" t="n"/>
      <c r="J11" s="404" t="n"/>
      <c r="K11" s="392" t="n"/>
      <c r="L11" s="392" t="n"/>
      <c r="M11" s="400">
        <f>K11+L11</f>
        <v/>
      </c>
      <c r="N11" s="392" t="n">
        <v>0</v>
      </c>
    </row>
    <row r="12">
      <c r="A12" s="45" t="n"/>
      <c r="B12" s="46" t="n"/>
      <c r="C12" s="91" t="n"/>
      <c r="D12" s="428" t="n"/>
      <c r="E12" s="428" t="n"/>
      <c r="F12" s="40" t="n"/>
      <c r="G12" s="40" t="n"/>
      <c r="H12" s="39" t="n"/>
      <c r="I12" s="393" t="n"/>
      <c r="J12" s="404" t="n"/>
      <c r="K12" s="392" t="n"/>
      <c r="L12" s="392" t="n"/>
      <c r="M12" s="400">
        <f>K12+L12</f>
        <v/>
      </c>
      <c r="N12" s="392" t="n">
        <v>0</v>
      </c>
    </row>
    <row r="13">
      <c r="A13" s="89" t="n"/>
      <c r="B13" s="90" t="n"/>
      <c r="C13" s="91" t="n"/>
      <c r="D13" s="399" t="n"/>
      <c r="E13" s="39" t="n"/>
      <c r="F13" s="40" t="n"/>
      <c r="G13" s="40" t="n"/>
      <c r="H13" s="39" t="n"/>
      <c r="I13" s="393" t="n"/>
      <c r="J13" s="404" t="n"/>
      <c r="K13" s="392" t="n"/>
      <c r="L13" s="392" t="n"/>
      <c r="M13" s="400">
        <f>K13+L13</f>
        <v/>
      </c>
      <c r="N13" s="392" t="n">
        <v>0</v>
      </c>
    </row>
    <row r="14">
      <c r="A14" s="47" t="n"/>
      <c r="B14" s="48" t="n"/>
      <c r="C14" s="91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2" t="n"/>
      <c r="M14" s="400">
        <f>K14+L14</f>
        <v/>
      </c>
      <c r="N14" s="392" t="n">
        <v>0</v>
      </c>
    </row>
    <row r="15">
      <c r="A15" s="89" t="n"/>
      <c r="B15" s="48" t="n"/>
      <c r="C15" s="91" t="n"/>
      <c r="D15" s="428" t="n"/>
      <c r="E15" s="39" t="n"/>
      <c r="F15" s="40" t="n"/>
      <c r="G15" s="40" t="n"/>
      <c r="H15" s="39" t="n"/>
      <c r="I15" s="393" t="n"/>
      <c r="J15" s="404" t="n"/>
      <c r="K15" s="392" t="n"/>
      <c r="L15" s="392" t="n"/>
      <c r="M15" s="400">
        <f>K15+L15</f>
        <v/>
      </c>
      <c r="N15" s="392" t="n">
        <v>0</v>
      </c>
    </row>
    <row r="16">
      <c r="A16" s="45" t="n"/>
      <c r="B16" s="46" t="n"/>
      <c r="C16" s="39" t="n"/>
      <c r="D16" s="110" t="n"/>
      <c r="E16" s="39" t="n"/>
      <c r="F16" s="40" t="n"/>
      <c r="G16" s="40" t="n"/>
      <c r="H16" s="39" t="n"/>
      <c r="I16" s="393" t="n"/>
      <c r="J16" s="404" t="n"/>
      <c r="K16" s="392" t="n"/>
      <c r="L16" s="392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9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407" t="n"/>
      <c r="E19" s="10" t="n"/>
      <c r="F19" s="61" t="n"/>
      <c r="G19" s="61" t="n"/>
      <c r="H19" s="10" t="n"/>
      <c r="I19" s="412" t="n"/>
      <c r="J19" s="409" t="n"/>
      <c r="K19" s="410" t="n"/>
      <c r="L19" s="410" t="n"/>
      <c r="M19" s="400">
        <f>K19+L19</f>
        <v/>
      </c>
      <c r="N19" s="392" t="n">
        <v>0</v>
      </c>
    </row>
    <row r="20">
      <c r="A20" s="14" t="n"/>
      <c r="B20" s="15" t="n"/>
      <c r="C20" s="10" t="n"/>
      <c r="D20" s="381" t="n"/>
      <c r="E20" s="10" t="n"/>
      <c r="F20" s="61" t="n"/>
      <c r="G20" s="61" t="n"/>
      <c r="H20" s="10" t="n"/>
      <c r="I20" s="412" t="n"/>
      <c r="J20" s="409" t="n"/>
      <c r="K20" s="410" t="n"/>
      <c r="L20" s="410" t="n"/>
      <c r="M20" s="400">
        <f>K20+L20</f>
        <v/>
      </c>
      <c r="N20" s="392" t="n">
        <v>0</v>
      </c>
    </row>
    <row r="21">
      <c r="A21" s="14" t="n"/>
      <c r="B21" s="15" t="n"/>
      <c r="C21" s="10" t="n"/>
      <c r="D21" s="411" t="n"/>
      <c r="E21" s="10" t="n"/>
      <c r="F21" s="61" t="n"/>
      <c r="G21" s="61" t="n"/>
      <c r="H21" s="10" t="n"/>
      <c r="I21" s="412" t="n"/>
      <c r="J21" s="409" t="n"/>
      <c r="K21" s="410" t="n"/>
      <c r="L21" s="41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9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07" t="n"/>
      <c r="E26" s="10" t="n"/>
      <c r="F26" s="61" t="n"/>
      <c r="G26" s="61" t="n"/>
      <c r="H26" s="10" t="n"/>
      <c r="I26" s="412" t="n"/>
      <c r="J26" s="409" t="n"/>
      <c r="K26" s="410" t="n"/>
      <c r="L26" s="410" t="n"/>
      <c r="M26" s="400">
        <f>K26+L26</f>
        <v/>
      </c>
      <c r="N26" s="392" t="n">
        <v>0</v>
      </c>
    </row>
    <row r="27">
      <c r="A27" s="14" t="n"/>
      <c r="B27" s="15" t="n"/>
      <c r="C27" s="10" t="n"/>
      <c r="D27" s="381" t="n"/>
      <c r="E27" s="10" t="n"/>
      <c r="F27" s="61" t="n"/>
      <c r="G27" s="61" t="n"/>
      <c r="H27" s="10" t="n"/>
      <c r="I27" s="412" t="n"/>
      <c r="J27" s="409" t="n"/>
      <c r="K27" s="410" t="n"/>
      <c r="L27" s="410" t="n"/>
      <c r="M27" s="400">
        <f>K27+L27</f>
        <v/>
      </c>
      <c r="N27" s="392" t="n">
        <v>0</v>
      </c>
    </row>
    <row r="28">
      <c r="A28" s="14" t="n"/>
      <c r="B28" s="15" t="n"/>
      <c r="C28" s="10" t="n"/>
      <c r="D28" s="411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74" t="n"/>
      <c r="B29" s="75" t="n"/>
      <c r="C29" s="76" t="n"/>
      <c r="D29" s="430" t="n"/>
      <c r="E29" s="76" t="n"/>
      <c r="F29" s="77" t="n"/>
      <c r="G29" s="77" t="n"/>
      <c r="H29" s="76" t="n"/>
      <c r="I29" s="431" t="n"/>
      <c r="J29" s="432" t="n"/>
      <c r="K29" s="433" t="n"/>
      <c r="L29" s="433" t="n"/>
      <c r="M29" s="434" t="n"/>
      <c r="N29" s="392" t="n">
        <v>0</v>
      </c>
    </row>
    <row r="30">
      <c r="A30" s="20" t="n"/>
      <c r="B30" s="21" t="n"/>
      <c r="C30" s="22" t="n"/>
      <c r="D30" s="21" t="n"/>
      <c r="E30" s="21" t="n"/>
      <c r="F30" s="21" t="n"/>
      <c r="G30" s="21" t="n"/>
      <c r="H30" s="21" t="n"/>
      <c r="I30" s="416" t="n"/>
      <c r="J30" s="420" t="n"/>
      <c r="K30" s="421" t="n"/>
      <c r="L30" s="421" t="n"/>
      <c r="M30" s="421" t="n"/>
      <c r="N30" s="392" t="n">
        <v>0</v>
      </c>
    </row>
    <row r="31">
      <c r="A31" s="20" t="n"/>
      <c r="B31" s="21" t="n"/>
      <c r="C31" s="22" t="n"/>
      <c r="D31" s="21" t="n"/>
      <c r="E31" s="21" t="n"/>
      <c r="F31" s="21" t="n"/>
      <c r="G31" s="21" t="n"/>
      <c r="H31" s="21" t="n"/>
      <c r="J31" s="420" t="n"/>
      <c r="K31" s="421" t="n"/>
      <c r="L31" s="421" t="n"/>
    </row>
    <row r="32">
      <c r="A32" s="20" t="n"/>
      <c r="B32" s="21" t="n"/>
      <c r="C32" s="22" t="n"/>
      <c r="D32" s="21" t="n"/>
      <c r="E32" s="21" t="n"/>
      <c r="F32" s="21" t="n"/>
      <c r="G32" s="21" t="n"/>
      <c r="H32" s="21" t="n"/>
      <c r="J32" s="420" t="n"/>
      <c r="K32" s="421" t="n"/>
      <c r="L32" s="421" t="n"/>
      <c r="M32" s="424" t="n"/>
    </row>
    <row r="33">
      <c r="A33" s="20" t="n"/>
      <c r="B33" s="21" t="n"/>
      <c r="C33" s="22" t="n"/>
      <c r="D33" s="21" t="n"/>
      <c r="E33" s="21" t="n"/>
      <c r="F33" s="21" t="n"/>
      <c r="G33" s="21" t="n"/>
      <c r="H33" s="21" t="n"/>
      <c r="J33" s="420" t="n"/>
      <c r="K33" s="421" t="n"/>
      <c r="L33" s="421" t="n"/>
    </row>
    <row r="34">
      <c r="C34" s="30" t="n"/>
    </row>
    <row r="35">
      <c r="C35" s="30" t="n"/>
    </row>
    <row r="36">
      <c r="C36" s="30" t="n"/>
    </row>
    <row r="37">
      <c r="C37" s="30" t="n"/>
    </row>
    <row r="38">
      <c r="C38" s="30" t="n"/>
    </row>
    <row r="39">
      <c r="C39" s="30" t="n"/>
    </row>
    <row r="40">
      <c r="C40" s="30" t="n"/>
      <c r="M40" s="423">
        <f>SUM(M2:M30)</f>
        <v/>
      </c>
      <c r="N40" s="423">
        <f>SUM(N2:N30)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4"/>
  <sheetViews>
    <sheetView topLeftCell="A7" zoomScale="70" zoomScaleNormal="70" workbookViewId="0">
      <selection activeCell="H40" sqref="H40"/>
    </sheetView>
  </sheetViews>
  <sheetFormatPr baseColWidth="8" defaultColWidth="8.77734375" defaultRowHeight="16.2"/>
  <cols>
    <col width="9" customWidth="1" style="29" min="1" max="1"/>
    <col width="60.77734375" customWidth="1" style="374" min="3" max="3"/>
    <col width="27.777343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89" t="n"/>
      <c r="B2" s="46" t="n"/>
      <c r="C2" s="177" t="n"/>
      <c r="D2" s="399" t="n"/>
      <c r="E2" s="46" t="n"/>
      <c r="F2" s="46" t="n"/>
      <c r="G2" s="40" t="n"/>
      <c r="H2" s="398" t="n"/>
      <c r="I2" s="393" t="n"/>
      <c r="J2" s="393" t="n"/>
      <c r="K2" s="396" t="n"/>
      <c r="L2" s="429" t="n"/>
      <c r="M2" s="392">
        <f>K2+L2</f>
        <v/>
      </c>
      <c r="N2" s="392" t="n">
        <v>0</v>
      </c>
    </row>
    <row r="3" ht="17.25" customFormat="1" customHeight="1" s="6">
      <c r="A3" s="89" t="n"/>
      <c r="B3" s="46" t="n"/>
      <c r="C3" s="99" t="n"/>
      <c r="D3" s="399" t="n"/>
      <c r="E3" s="46" t="n"/>
      <c r="F3" s="46" t="n"/>
      <c r="G3" s="40" t="n"/>
      <c r="H3" s="39" t="n"/>
      <c r="I3" s="393" t="n"/>
      <c r="J3" s="393" t="n"/>
      <c r="K3" s="392" t="n"/>
      <c r="L3" s="391" t="n"/>
      <c r="M3" s="392">
        <f>K3+L3</f>
        <v/>
      </c>
      <c r="N3" s="392" t="n">
        <v>0</v>
      </c>
    </row>
    <row r="4" ht="17.25" customFormat="1" customHeight="1" s="6">
      <c r="A4" s="89" t="n"/>
      <c r="B4" s="46" t="n"/>
      <c r="C4" s="99" t="n"/>
      <c r="D4" s="399" t="n"/>
      <c r="E4" s="46" t="n"/>
      <c r="F4" s="46" t="n"/>
      <c r="G4" s="40" t="n"/>
      <c r="H4" s="398" t="n"/>
      <c r="I4" s="393" t="n"/>
      <c r="J4" s="393" t="n"/>
      <c r="K4" s="392" t="n"/>
      <c r="L4" s="391" t="n"/>
      <c r="M4" s="392">
        <f>K4+L4</f>
        <v/>
      </c>
      <c r="N4" s="392" t="n">
        <v>0</v>
      </c>
    </row>
    <row r="5" ht="17.25" customFormat="1" customHeight="1" s="6">
      <c r="A5" s="89" t="n"/>
      <c r="B5" s="46" t="n"/>
      <c r="C5" s="99" t="n"/>
      <c r="D5" s="399" t="n"/>
      <c r="E5" s="39" t="n"/>
      <c r="F5" s="40" t="n"/>
      <c r="G5" s="40" t="n"/>
      <c r="H5" s="39" t="n"/>
      <c r="I5" s="393" t="n"/>
      <c r="J5" s="393" t="n"/>
      <c r="K5" s="392" t="n"/>
      <c r="L5" s="391" t="n"/>
      <c r="M5" s="392">
        <f>K5+L5</f>
        <v/>
      </c>
      <c r="N5" s="392" t="n">
        <v>0</v>
      </c>
    </row>
    <row r="6" ht="17.25" customFormat="1" customHeight="1" s="6">
      <c r="A6" s="89" t="n"/>
      <c r="B6" s="46" t="n"/>
      <c r="C6" s="99" t="n"/>
      <c r="D6" s="399" t="n"/>
      <c r="E6" s="39" t="n"/>
      <c r="F6" s="40" t="n"/>
      <c r="G6" s="40" t="n"/>
      <c r="H6" s="39" t="n"/>
      <c r="I6" s="393" t="n"/>
      <c r="J6" s="393" t="n"/>
      <c r="K6" s="392" t="n"/>
      <c r="L6" s="391" t="n"/>
      <c r="M6" s="392">
        <f>K6+L6</f>
        <v/>
      </c>
      <c r="N6" s="392" t="n">
        <v>0</v>
      </c>
    </row>
    <row r="7" ht="17.25" customFormat="1" customHeight="1" s="6">
      <c r="A7" s="89" t="n"/>
      <c r="B7" s="46" t="n"/>
      <c r="C7" s="99" t="n"/>
      <c r="D7" s="399" t="n"/>
      <c r="E7" s="39" t="n"/>
      <c r="F7" s="40" t="n"/>
      <c r="G7" s="40" t="n"/>
      <c r="H7" s="398" t="n"/>
      <c r="I7" s="393" t="n"/>
      <c r="J7" s="393" t="n"/>
      <c r="K7" s="392" t="n"/>
      <c r="L7" s="391" t="n"/>
      <c r="M7" s="392">
        <f>K7+L7</f>
        <v/>
      </c>
      <c r="N7" s="392" t="n">
        <v>0</v>
      </c>
    </row>
    <row r="8" ht="17.25" customFormat="1" customHeight="1" s="6">
      <c r="A8" s="89" t="n"/>
      <c r="B8" s="90" t="n"/>
      <c r="C8" s="99" t="n"/>
      <c r="D8" s="399" t="n"/>
      <c r="E8" s="39" t="n"/>
      <c r="F8" s="40" t="n"/>
      <c r="G8" s="40" t="n"/>
      <c r="H8" s="39" t="n"/>
      <c r="I8" s="393" t="n"/>
      <c r="J8" s="404" t="n"/>
      <c r="K8" s="392" t="n"/>
      <c r="L8" s="391" t="n"/>
      <c r="M8" s="392">
        <f>K8+L8</f>
        <v/>
      </c>
      <c r="N8" s="392" t="n">
        <v>0</v>
      </c>
    </row>
    <row r="9" ht="17.25" customFormat="1" customHeight="1" s="6">
      <c r="A9" s="89" t="n"/>
      <c r="B9" s="90" t="n"/>
      <c r="C9" s="99" t="n"/>
      <c r="D9" s="428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89" t="n"/>
      <c r="B10" s="48" t="n"/>
      <c r="C10" s="99" t="n"/>
      <c r="D10" s="399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393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89" t="n"/>
      <c r="B12" s="48" t="n"/>
      <c r="C12" s="39" t="n"/>
      <c r="D12" s="399" t="n"/>
      <c r="E12" s="39" t="n"/>
      <c r="F12" s="40" t="n"/>
      <c r="G12" s="40" t="n"/>
      <c r="H12" s="398" t="n"/>
      <c r="I12" s="393" t="n"/>
      <c r="J12" s="393" t="n"/>
      <c r="K12" s="392" t="n"/>
      <c r="L12" s="391" t="n"/>
      <c r="M12" s="392">
        <f>K12+L12</f>
        <v/>
      </c>
      <c r="N12" s="392" t="n">
        <v>0</v>
      </c>
    </row>
    <row r="13">
      <c r="A13" s="59" t="n"/>
      <c r="B13" s="52" t="n"/>
      <c r="C13" s="39" t="n"/>
      <c r="D13" s="402" t="n"/>
      <c r="E13" s="53" t="n"/>
      <c r="F13" s="54" t="n"/>
      <c r="G13" s="54" t="n"/>
      <c r="H13" s="53" t="n"/>
      <c r="I13" s="403" t="n"/>
      <c r="J13" s="406" t="n"/>
      <c r="K13" s="400" t="n"/>
      <c r="L13" s="435" t="n"/>
      <c r="M13" s="400">
        <f>K13+L13</f>
        <v/>
      </c>
      <c r="N13" s="392" t="n">
        <v>0</v>
      </c>
    </row>
    <row r="14">
      <c r="A14" s="45" t="n"/>
      <c r="B14" s="48" t="n"/>
      <c r="C14" s="39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>
      <c r="A15" s="45" t="n"/>
      <c r="B15" s="48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>
      <c r="A16" s="47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>
      <c r="A17" s="45" t="n"/>
      <c r="B17" s="46" t="n"/>
      <c r="C17" s="39" t="n"/>
      <c r="D17" s="399" t="n"/>
      <c r="E17" s="39" t="n"/>
      <c r="F17" s="40" t="n"/>
      <c r="G17" s="40" t="n"/>
      <c r="H17" s="39" t="n"/>
      <c r="I17" s="393" t="n"/>
      <c r="J17" s="404" t="n"/>
      <c r="K17" s="392" t="n"/>
      <c r="L17" s="392" t="n"/>
      <c r="M17" s="400">
        <f>K17+L17</f>
        <v/>
      </c>
      <c r="N17" s="392" t="n">
        <v>0</v>
      </c>
    </row>
    <row r="18">
      <c r="A18" s="1" t="n"/>
      <c r="B18" s="8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27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9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407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38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38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7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14" t="n"/>
      <c r="B39" s="15" t="n"/>
      <c r="C39" s="10" t="n"/>
      <c r="D39" s="427" t="n"/>
      <c r="E39" s="10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2" t="n">
        <v>0</v>
      </c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autoFilter ref="A1:N39">
    <sortState ref="A2:N39">
      <sortCondition ref="B1:B39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7"/>
  <sheetViews>
    <sheetView topLeftCell="A17" zoomScale="60" zoomScaleNormal="60" workbookViewId="0">
      <selection activeCell="C27" sqref="C27"/>
    </sheetView>
  </sheetViews>
  <sheetFormatPr baseColWidth="8" defaultColWidth="8.77734375" defaultRowHeight="16.2"/>
  <cols>
    <col width="10.33203125" customWidth="1" style="29" min="1" max="1"/>
    <col width="11.88671875" bestFit="1" customWidth="1" style="374" min="2" max="2"/>
    <col width="63.109375" customWidth="1" style="374" min="3" max="3"/>
    <col width="27.777343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436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6">
      <c r="A2" s="157" t="n"/>
      <c r="B2" s="234" t="n"/>
      <c r="C2" s="39" t="n"/>
      <c r="D2" s="437" t="n"/>
      <c r="E2" s="39" t="n"/>
      <c r="F2" s="40" t="n"/>
      <c r="G2" s="40" t="n"/>
      <c r="H2" s="398" t="n"/>
      <c r="I2" s="393" t="n"/>
      <c r="J2" s="404" t="n"/>
      <c r="K2" s="392" t="n"/>
      <c r="L2" s="391" t="n"/>
      <c r="M2" s="392">
        <f>K2+L2</f>
        <v/>
      </c>
      <c r="N2" s="392" t="n">
        <v>0</v>
      </c>
    </row>
    <row r="3" ht="17.25" customFormat="1" customHeight="1" s="6">
      <c r="A3" s="157" t="n"/>
      <c r="B3" s="234" t="n"/>
      <c r="C3" s="39" t="n"/>
      <c r="D3" s="437" t="n"/>
      <c r="E3" s="39" t="n"/>
      <c r="F3" s="40" t="n"/>
      <c r="G3" s="40" t="n"/>
      <c r="H3" s="39" t="n"/>
      <c r="I3" s="393" t="n"/>
      <c r="J3" s="404" t="n"/>
      <c r="K3" s="392" t="n"/>
      <c r="L3" s="391" t="n"/>
      <c r="M3" s="392">
        <f>K3+L3</f>
        <v/>
      </c>
      <c r="N3" s="392" t="n">
        <v>0</v>
      </c>
    </row>
    <row r="4" ht="17.25" customFormat="1" customHeight="1" s="6">
      <c r="A4" s="157" t="n"/>
      <c r="B4" s="234" t="n"/>
      <c r="C4" s="39" t="n"/>
      <c r="D4" s="437" t="n"/>
      <c r="E4" s="39" t="n"/>
      <c r="F4" s="40" t="n"/>
      <c r="G4" s="40" t="n"/>
      <c r="H4" s="39" t="n"/>
      <c r="I4" s="393" t="n"/>
      <c r="J4" s="404" t="n"/>
      <c r="K4" s="392" t="n"/>
      <c r="L4" s="391" t="n"/>
      <c r="M4" s="392">
        <f>K4+L4</f>
        <v/>
      </c>
      <c r="N4" s="392" t="n">
        <v>0</v>
      </c>
    </row>
    <row r="5" ht="17.25" customFormat="1" customHeight="1" s="6">
      <c r="A5" s="157" t="n"/>
      <c r="B5" s="234" t="n"/>
      <c r="C5" s="39" t="n"/>
      <c r="D5" s="438" t="n"/>
      <c r="E5" s="39" t="n"/>
      <c r="F5" s="40" t="n"/>
      <c r="G5" s="40" t="n"/>
      <c r="H5" s="39" t="n"/>
      <c r="I5" s="393" t="n"/>
      <c r="J5" s="406" t="n"/>
      <c r="K5" s="400" t="n"/>
      <c r="L5" s="435" t="n"/>
      <c r="M5" s="400">
        <f>K5+L5</f>
        <v/>
      </c>
      <c r="N5" s="392" t="n">
        <v>0</v>
      </c>
    </row>
    <row r="6" ht="17.25" customFormat="1" customHeight="1" s="6">
      <c r="A6" s="157" t="n"/>
      <c r="B6" s="234" t="n"/>
      <c r="C6" s="39" t="n"/>
      <c r="D6" s="438" t="n"/>
      <c r="E6" s="39" t="n"/>
      <c r="F6" s="40" t="n"/>
      <c r="G6" s="40" t="n"/>
      <c r="H6" s="39" t="n"/>
      <c r="I6" s="393" t="n"/>
      <c r="J6" s="406" t="n"/>
      <c r="K6" s="400" t="n"/>
      <c r="L6" s="435" t="n"/>
      <c r="M6" s="400">
        <f>K6+L6</f>
        <v/>
      </c>
      <c r="N6" s="392" t="n">
        <v>0</v>
      </c>
    </row>
    <row r="7" ht="17.25" customFormat="1" customHeight="1" s="86">
      <c r="A7" s="157" t="n"/>
      <c r="B7" s="234" t="n"/>
      <c r="C7" s="39" t="n"/>
      <c r="D7" s="237" t="n"/>
      <c r="E7" s="85" t="n"/>
      <c r="F7" s="54" t="n"/>
      <c r="G7" s="54" t="n"/>
      <c r="H7" s="408" t="n"/>
      <c r="I7" s="403" t="n"/>
      <c r="J7" s="406" t="n"/>
      <c r="K7" s="400" t="n"/>
      <c r="L7" s="435" t="n"/>
      <c r="M7" s="400">
        <f>K7+L7</f>
        <v/>
      </c>
      <c r="N7" s="392" t="n">
        <v>0</v>
      </c>
      <c r="O7" s="250" t="n"/>
    </row>
    <row r="8" ht="14.25" customFormat="1" customHeight="1" s="71">
      <c r="A8" s="157" t="n"/>
      <c r="B8" s="156" t="n"/>
      <c r="C8" s="238" t="n"/>
      <c r="D8" s="100" t="n"/>
      <c r="E8" s="85" t="n"/>
      <c r="F8" s="40" t="n"/>
      <c r="G8" s="40" t="n"/>
      <c r="H8" s="53" t="n"/>
      <c r="I8" s="403" t="n"/>
      <c r="J8" s="406" t="n"/>
      <c r="K8" s="400" t="n"/>
      <c r="L8" s="435" t="n"/>
      <c r="M8" s="400">
        <f>K8+L8</f>
        <v/>
      </c>
      <c r="N8" s="392" t="n">
        <v>0</v>
      </c>
      <c r="O8" s="154" t="n"/>
    </row>
    <row r="9" ht="14.25" customFormat="1" customHeight="1" s="71">
      <c r="A9" s="157" t="n"/>
      <c r="B9" s="156" t="n"/>
      <c r="C9" s="238" t="n"/>
      <c r="D9" s="100" t="n"/>
      <c r="E9" s="85" t="n"/>
      <c r="F9" s="40" t="n"/>
      <c r="G9" s="40" t="n"/>
      <c r="H9" s="53" t="n"/>
      <c r="I9" s="403" t="n"/>
      <c r="J9" s="406" t="n"/>
      <c r="K9" s="400" t="n"/>
      <c r="L9" s="435" t="n"/>
      <c r="M9" s="400">
        <f>K9+L9</f>
        <v/>
      </c>
      <c r="N9" s="392" t="n">
        <v>0</v>
      </c>
      <c r="O9" s="154" t="n"/>
    </row>
    <row r="10" ht="17.25" customFormat="1" customHeight="1" s="6">
      <c r="A10" s="51" t="n"/>
      <c r="B10" s="62" t="n"/>
      <c r="C10" s="53" t="n"/>
      <c r="D10" s="402" t="n"/>
      <c r="E10" s="53" t="n"/>
      <c r="F10" s="54" t="n"/>
      <c r="G10" s="54" t="n"/>
      <c r="H10" s="53" t="n"/>
      <c r="I10" s="403" t="n"/>
      <c r="J10" s="406" t="n"/>
      <c r="K10" s="400" t="n"/>
      <c r="L10" s="435" t="n"/>
      <c r="M10" s="400">
        <f>K10+L10</f>
        <v/>
      </c>
      <c r="N10" s="392" t="n">
        <v>0</v>
      </c>
    </row>
    <row r="11" ht="17.25" customFormat="1" customHeight="1" s="6">
      <c r="A11" s="59" t="n"/>
      <c r="B11" s="52" t="n"/>
      <c r="C11" s="53" t="n"/>
      <c r="D11" s="439" t="n"/>
      <c r="E11" s="53" t="n"/>
      <c r="F11" s="54" t="n"/>
      <c r="G11" s="54" t="n"/>
      <c r="H11" s="53" t="n"/>
      <c r="I11" s="403" t="n"/>
      <c r="J11" s="406" t="n"/>
      <c r="K11" s="400" t="n"/>
      <c r="L11" s="435" t="n"/>
      <c r="M11" s="400">
        <f>K11+L11</f>
        <v/>
      </c>
      <c r="N11" s="392" t="n">
        <v>0</v>
      </c>
    </row>
    <row r="12" ht="17.25" customFormat="1" customHeight="1" s="6">
      <c r="A12" s="51" t="n"/>
      <c r="B12" s="62" t="n"/>
      <c r="C12" s="53" t="n"/>
      <c r="D12" s="402" t="n"/>
      <c r="E12" s="53" t="n"/>
      <c r="F12" s="54" t="n"/>
      <c r="G12" s="54" t="n"/>
      <c r="H12" s="53" t="n"/>
      <c r="I12" s="403" t="n"/>
      <c r="J12" s="406" t="n"/>
      <c r="K12" s="400" t="n"/>
      <c r="L12" s="400" t="n"/>
      <c r="M12" s="400">
        <f>K12+L12</f>
        <v/>
      </c>
      <c r="N12" s="392" t="n">
        <v>0</v>
      </c>
    </row>
    <row r="13" ht="17.25" customHeight="1" s="374">
      <c r="A13" s="1" t="n"/>
      <c r="B13" s="8" t="n"/>
      <c r="C13" s="53" t="n"/>
      <c r="D13" s="381" t="n"/>
      <c r="E13" s="53" t="n"/>
      <c r="F13" s="61" t="n"/>
      <c r="G13" s="61" t="n"/>
      <c r="H13" s="53" t="n"/>
      <c r="I13" s="403" t="n"/>
      <c r="J13" s="406" t="n"/>
      <c r="K13" s="400" t="n"/>
      <c r="L13" s="400" t="n"/>
      <c r="M13" s="400">
        <f>K13+L13</f>
        <v/>
      </c>
      <c r="N13" s="392" t="n">
        <v>0</v>
      </c>
    </row>
    <row r="14" ht="17.25" customHeight="1" s="374">
      <c r="A14" s="51" t="n"/>
      <c r="B14" s="62" t="n"/>
      <c r="C14" s="53" t="n"/>
      <c r="D14" s="381" t="n"/>
      <c r="E14" s="53" t="n"/>
      <c r="F14" s="61" t="n"/>
      <c r="G14" s="61" t="n"/>
      <c r="H14" s="53" t="n"/>
      <c r="I14" s="403" t="n"/>
      <c r="J14" s="406" t="n"/>
      <c r="K14" s="400" t="n"/>
      <c r="L14" s="400" t="n"/>
      <c r="M14" s="400">
        <f>K14+L14</f>
        <v/>
      </c>
      <c r="N14" s="392" t="n">
        <v>0</v>
      </c>
    </row>
    <row r="15" ht="17.25" customFormat="1" customHeight="1" s="6">
      <c r="A15" s="45" t="n"/>
      <c r="B15" s="48" t="n"/>
      <c r="C15" s="39" t="n"/>
      <c r="D15" s="440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 ht="17.25" customHeight="1" s="374">
      <c r="A16" s="51" t="n"/>
      <c r="B16" s="62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 ht="17.25" customHeight="1" s="374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 ht="17.25" customHeight="1" s="374">
      <c r="A18" s="51" t="n"/>
      <c r="B18" s="62" t="n"/>
      <c r="C18" s="53" t="n"/>
      <c r="D18" s="407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53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 ht="17.25" customHeight="1" s="374">
      <c r="A21" s="51" t="n"/>
      <c r="B21" s="62" t="n"/>
      <c r="C21" s="53" t="n"/>
      <c r="D21" s="42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 ht="17.25" customHeight="1" s="374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 ht="17.25" customHeight="1" s="374">
      <c r="A23" s="51" t="n"/>
      <c r="B23" s="62" t="n"/>
      <c r="C23" s="53" t="n"/>
      <c r="D23" s="9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07" t="n"/>
      <c r="E26" s="10" t="n"/>
      <c r="F26" s="61" t="n"/>
      <c r="G26" s="61" t="n"/>
      <c r="H26" s="10" t="n"/>
      <c r="I26" s="412" t="n"/>
      <c r="J26" s="409" t="n"/>
      <c r="K26" s="410" t="n"/>
      <c r="L26" s="410" t="n"/>
      <c r="M26" s="400">
        <f>K26+L26</f>
        <v/>
      </c>
      <c r="N26" s="392" t="n">
        <v>0</v>
      </c>
    </row>
    <row r="27">
      <c r="A27" s="14" t="n"/>
      <c r="B27" s="15" t="n"/>
      <c r="C27" s="53" t="n"/>
      <c r="D27" s="381" t="n"/>
      <c r="E27" s="10" t="n"/>
      <c r="F27" s="61" t="n"/>
      <c r="G27" s="61" t="n"/>
      <c r="H27" s="10" t="n"/>
      <c r="I27" s="412" t="n"/>
      <c r="J27" s="409" t="n"/>
      <c r="K27" s="410" t="n"/>
      <c r="L27" s="410" t="n"/>
      <c r="M27" s="400">
        <f>K27+L27</f>
        <v/>
      </c>
      <c r="N27" s="392" t="n">
        <v>0</v>
      </c>
    </row>
    <row r="28">
      <c r="A28" s="14" t="n"/>
      <c r="B28" s="15" t="n"/>
      <c r="C28" s="53" t="n"/>
      <c r="D28" s="411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14" t="n"/>
      <c r="B29" s="15" t="n"/>
      <c r="C29" s="53" t="n"/>
      <c r="D29" s="411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367" t="n"/>
      <c r="B30" s="368" t="n"/>
      <c r="C30" s="365" t="n"/>
      <c r="D30" s="44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369" t="n"/>
      <c r="B31" s="370" t="n"/>
      <c r="C31" s="316" t="n"/>
      <c r="D31" s="442" t="n"/>
      <c r="E31" s="366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369" t="n"/>
      <c r="B32" s="370" t="n"/>
      <c r="C32" s="316" t="n"/>
      <c r="D32" s="443" t="n"/>
      <c r="E32" s="366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369" t="n"/>
      <c r="B33" s="370" t="n"/>
      <c r="C33" s="316" t="n"/>
      <c r="D33" s="444" t="n"/>
      <c r="E33" s="366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369" t="n"/>
      <c r="B34" s="370" t="n"/>
      <c r="C34" s="316" t="n"/>
      <c r="D34" s="444" t="n"/>
      <c r="E34" s="366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369" t="n"/>
      <c r="B35" s="370" t="n"/>
      <c r="C35" s="316" t="n"/>
      <c r="D35" s="443" t="n"/>
      <c r="E35" s="366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371" t="n"/>
      <c r="B36" s="372" t="n"/>
      <c r="C36" s="316" t="n"/>
      <c r="D36" s="442" t="n"/>
      <c r="E36" s="366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371" t="n"/>
      <c r="B37" s="372" t="n"/>
      <c r="C37" s="316" t="n"/>
      <c r="D37" s="443" t="n"/>
      <c r="E37" s="366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371" t="n"/>
      <c r="B38" s="372" t="n"/>
      <c r="C38" s="316" t="n"/>
      <c r="D38" s="444" t="n"/>
      <c r="E38" s="366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371" t="n"/>
      <c r="B39" s="372" t="n"/>
      <c r="C39" s="316" t="n"/>
      <c r="D39" s="444" t="n"/>
      <c r="E39" s="366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2" t="n">
        <v>0</v>
      </c>
    </row>
    <row r="40">
      <c r="C40" s="101" t="n"/>
      <c r="M40" s="423">
        <f>SUM(M2:M31)</f>
        <v/>
      </c>
      <c r="N40" s="423">
        <f>SUM(N2:N31)</f>
        <v/>
      </c>
    </row>
    <row r="41">
      <c r="C41" s="101" t="n"/>
    </row>
    <row r="42">
      <c r="C42" s="101" t="n"/>
    </row>
    <row r="43">
      <c r="C43" s="101" t="n"/>
    </row>
    <row r="44">
      <c r="C44" s="101" t="n"/>
    </row>
    <row r="45">
      <c r="C45" s="101" t="n"/>
    </row>
    <row r="46">
      <c r="C46" s="101" t="n"/>
    </row>
    <row r="47">
      <c r="C47" s="101" t="n"/>
    </row>
    <row r="48">
      <c r="C48" s="101" t="n"/>
    </row>
    <row r="49">
      <c r="C49" s="101" t="n"/>
    </row>
    <row r="50">
      <c r="C50" s="101" t="n"/>
    </row>
    <row r="51">
      <c r="C51" s="101" t="n"/>
    </row>
    <row r="52">
      <c r="C52" s="101" t="n"/>
    </row>
    <row r="53">
      <c r="C53" s="101" t="n"/>
    </row>
    <row r="54">
      <c r="C54" s="101" t="n"/>
    </row>
    <row r="55">
      <c r="C55" s="101" t="n"/>
    </row>
    <row r="56">
      <c r="C56" s="101" t="n"/>
    </row>
    <row r="57">
      <c r="C57" s="101" t="n"/>
    </row>
    <row r="58">
      <c r="C58" s="101" t="n"/>
    </row>
    <row r="59">
      <c r="C59" s="101" t="n"/>
    </row>
    <row r="60">
      <c r="C60" s="101" t="n"/>
    </row>
    <row r="61">
      <c r="C61" s="101" t="n"/>
    </row>
    <row r="62">
      <c r="C62" s="101" t="n"/>
    </row>
    <row r="63">
      <c r="C63" s="101" t="n"/>
    </row>
    <row r="64">
      <c r="C64" s="101" t="n"/>
    </row>
    <row r="65">
      <c r="C65" s="101" t="n"/>
    </row>
    <row r="66">
      <c r="C66" s="101" t="n"/>
    </row>
    <row r="67">
      <c r="C67" s="101" t="n"/>
    </row>
    <row r="68">
      <c r="C68" s="101" t="n"/>
    </row>
    <row r="69">
      <c r="C69" s="101" t="n"/>
    </row>
    <row r="70">
      <c r="C70" s="101" t="n"/>
    </row>
    <row r="71">
      <c r="C71" s="101" t="n"/>
    </row>
    <row r="72">
      <c r="C72" s="101" t="n"/>
    </row>
    <row r="73">
      <c r="C73" s="101" t="n"/>
    </row>
    <row r="74">
      <c r="C74" s="101" t="n"/>
    </row>
    <row r="75">
      <c r="C75" s="101" t="n"/>
    </row>
    <row r="76">
      <c r="C76" s="101" t="n"/>
    </row>
    <row r="77">
      <c r="C77" s="101" t="n"/>
    </row>
    <row r="78">
      <c r="C78" s="101" t="n"/>
    </row>
    <row r="79">
      <c r="C79" s="101" t="n"/>
    </row>
    <row r="80">
      <c r="C80" s="101" t="n"/>
    </row>
    <row r="81">
      <c r="C81" s="101" t="n"/>
    </row>
    <row r="82">
      <c r="C82" s="101" t="n"/>
    </row>
    <row r="83">
      <c r="C83" s="101" t="n"/>
    </row>
    <row r="84">
      <c r="C84" s="101" t="n"/>
    </row>
    <row r="85">
      <c r="C85" s="101" t="n"/>
    </row>
    <row r="86">
      <c r="C86" s="101" t="n"/>
    </row>
    <row r="87">
      <c r="C87" s="101" t="n"/>
    </row>
    <row r="88">
      <c r="C88" s="101" t="n"/>
    </row>
    <row r="89">
      <c r="C89" s="101" t="n"/>
    </row>
    <row r="90">
      <c r="C90" s="101" t="n"/>
    </row>
    <row r="91">
      <c r="C91" s="101" t="n"/>
    </row>
    <row r="92">
      <c r="C92" s="101" t="n"/>
    </row>
    <row r="93">
      <c r="C93" s="101" t="n"/>
    </row>
    <row r="94">
      <c r="C94" s="101" t="n"/>
    </row>
    <row r="95">
      <c r="C95" s="101" t="n"/>
    </row>
    <row r="96">
      <c r="C96" s="101" t="n"/>
    </row>
    <row r="97">
      <c r="C97" s="101" t="n"/>
    </row>
    <row r="98">
      <c r="C98" s="101" t="n"/>
    </row>
    <row r="99">
      <c r="C99" s="101" t="n"/>
    </row>
    <row r="100">
      <c r="C100" s="101" t="n"/>
    </row>
    <row r="101">
      <c r="C101" s="101" t="n"/>
    </row>
    <row r="102">
      <c r="C102" s="101" t="n"/>
    </row>
    <row r="103">
      <c r="C103" s="101" t="n"/>
    </row>
    <row r="104">
      <c r="C104" s="101" t="n"/>
    </row>
    <row r="105">
      <c r="C105" s="101" t="n"/>
    </row>
    <row r="106">
      <c r="C106" s="101" t="n"/>
    </row>
    <row r="107">
      <c r="C107" s="101" t="n"/>
    </row>
    <row r="108">
      <c r="C108" s="101" t="n"/>
    </row>
    <row r="109">
      <c r="C109" s="101" t="n"/>
    </row>
    <row r="110">
      <c r="C110" s="101" t="n"/>
    </row>
    <row r="111">
      <c r="C111" s="101" t="n"/>
    </row>
    <row r="112">
      <c r="C112" s="101" t="n"/>
    </row>
    <row r="113">
      <c r="C113" s="101" t="n"/>
    </row>
    <row r="114">
      <c r="C114" s="101" t="n"/>
    </row>
    <row r="115">
      <c r="C115" s="101" t="n"/>
    </row>
    <row r="116">
      <c r="C116" s="101" t="n"/>
    </row>
    <row r="117">
      <c r="C117" s="101" t="n"/>
    </row>
    <row r="118">
      <c r="C118" s="101" t="n"/>
    </row>
    <row r="119">
      <c r="C119" s="101" t="n"/>
    </row>
    <row r="120">
      <c r="C120" s="101" t="n"/>
    </row>
    <row r="121">
      <c r="C121" s="101" t="n"/>
    </row>
    <row r="122">
      <c r="C122" s="72" t="n"/>
    </row>
    <row r="123">
      <c r="C123" s="53" t="n"/>
    </row>
    <row r="124">
      <c r="C124" s="53" t="n"/>
    </row>
    <row r="125">
      <c r="C125" s="53" t="n"/>
    </row>
    <row r="126">
      <c r="C126" s="53" t="n"/>
    </row>
    <row r="127">
      <c r="C127" s="53" t="n"/>
    </row>
  </sheetData>
  <pageMargins left="0.7" right="0.7" top="0.75" bottom="0.75" header="0.3" footer="0.3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32"/>
  <sheetViews>
    <sheetView zoomScale="60" zoomScaleNormal="60" workbookViewId="0">
      <selection activeCell="J30" sqref="J30"/>
    </sheetView>
  </sheetViews>
  <sheetFormatPr baseColWidth="8" defaultColWidth="8.77734375" defaultRowHeight="16.5" customHeight="1"/>
  <cols>
    <col width="11.88671875" customWidth="1" style="29" min="1" max="1"/>
    <col width="54.6640625" customWidth="1" style="374" min="3" max="3"/>
    <col width="22.44140625" bestFit="1" customWidth="1" style="374" min="4" max="4"/>
    <col width="9" customWidth="1" style="374" min="5" max="7"/>
    <col width="11.44140625" customWidth="1" style="374" min="8" max="8"/>
    <col width="9.44140625" customWidth="1" style="374" min="9" max="9"/>
    <col width="41.109375" customWidth="1" style="379" min="10" max="11"/>
    <col width="9" bestFit="1" customWidth="1" style="380" min="12" max="12"/>
    <col width="12.33203125" bestFit="1" customWidth="1" style="380" min="13" max="13"/>
    <col width="15.21875" customWidth="1" style="380" min="14" max="14"/>
  </cols>
  <sheetData>
    <row r="1" ht="18" customHeight="1" s="374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4" t="n"/>
      <c r="L1" s="385" t="inlineStr">
        <is>
          <t>Dvr.OT</t>
        </is>
      </c>
      <c r="M1" s="386" t="inlineStr">
        <is>
          <t>Dvr.C</t>
        </is>
      </c>
      <c r="N1" s="385" t="inlineStr">
        <is>
          <t>Driver.C+OT</t>
        </is>
      </c>
      <c r="O1" s="385" t="inlineStr">
        <is>
          <t>Bouns</t>
        </is>
      </c>
    </row>
    <row r="2" ht="17.25" customFormat="1" customHeight="1" s="110">
      <c r="A2" s="147" t="n"/>
      <c r="B2" s="131" t="n"/>
      <c r="C2" s="91" t="n"/>
      <c r="D2" s="399" t="n"/>
      <c r="E2" s="91" t="n"/>
      <c r="F2" s="111" t="n"/>
      <c r="G2" s="111" t="n"/>
      <c r="H2" s="91" t="n"/>
      <c r="I2" s="389" t="n"/>
      <c r="J2" s="395" t="n"/>
      <c r="K2" s="395" t="n"/>
      <c r="L2" s="396" t="n"/>
      <c r="M2" s="429" t="n"/>
      <c r="N2" s="392">
        <f>L2+M2</f>
        <v/>
      </c>
      <c r="O2" s="392" t="n">
        <v>0</v>
      </c>
    </row>
    <row r="3" ht="17.25" customFormat="1" customHeight="1" s="110">
      <c r="A3" s="147" t="n"/>
      <c r="B3" s="131" t="n"/>
      <c r="C3" s="91" t="n"/>
      <c r="D3" s="399" t="n"/>
      <c r="E3" s="91" t="n"/>
      <c r="F3" s="111" t="n"/>
      <c r="G3" s="111" t="n"/>
      <c r="H3" s="91" t="n"/>
      <c r="I3" s="389" t="n"/>
      <c r="J3" s="395" t="n"/>
      <c r="K3" s="395" t="n"/>
      <c r="L3" s="396" t="n"/>
      <c r="M3" s="429" t="n"/>
      <c r="N3" s="392">
        <f>L3+M3</f>
        <v/>
      </c>
      <c r="O3" s="392" t="n">
        <v>0</v>
      </c>
    </row>
    <row r="4" ht="17.25" customFormat="1" customHeight="1" s="110">
      <c r="A4" s="89" t="n"/>
      <c r="B4" s="89" t="n"/>
      <c r="C4" s="91" t="n"/>
      <c r="D4" s="399" t="n"/>
      <c r="E4" s="102" t="n"/>
      <c r="F4" s="40" t="n"/>
      <c r="G4" s="40" t="n"/>
      <c r="H4" s="398" t="n"/>
      <c r="I4" s="393" t="n"/>
      <c r="J4" s="404" t="n"/>
      <c r="K4" s="404" t="n"/>
      <c r="L4" s="392" t="n"/>
      <c r="M4" s="391" t="n"/>
      <c r="N4" s="392">
        <f>L4+M4</f>
        <v/>
      </c>
      <c r="O4" s="392" t="n">
        <v>0</v>
      </c>
    </row>
    <row r="5" ht="17.25" customFormat="1" customHeight="1" s="110">
      <c r="A5" s="89" t="n"/>
      <c r="B5" s="89" t="n"/>
      <c r="C5" s="39" t="n"/>
      <c r="D5" s="399" t="n"/>
      <c r="E5" s="39" t="n"/>
      <c r="F5" s="40" t="n"/>
      <c r="G5" s="40" t="n"/>
      <c r="H5" s="39" t="n"/>
      <c r="I5" s="393" t="n"/>
      <c r="J5" s="404" t="n"/>
      <c r="K5" s="404" t="n"/>
      <c r="L5" s="392" t="n"/>
      <c r="M5" s="391" t="n"/>
      <c r="N5" s="392">
        <f>L5+M5</f>
        <v/>
      </c>
      <c r="O5" s="392" t="n">
        <v>0</v>
      </c>
    </row>
    <row r="6" ht="17.25" customFormat="1" customHeight="1" s="6">
      <c r="A6" s="89" t="n"/>
      <c r="B6" s="48" t="n"/>
      <c r="C6" s="91" t="n"/>
      <c r="D6" s="399" t="n"/>
      <c r="E6" s="39" t="n"/>
      <c r="F6" s="40" t="n"/>
      <c r="G6" s="40" t="n"/>
      <c r="H6" s="39" t="n"/>
      <c r="I6" s="393" t="n"/>
      <c r="J6" s="404" t="n"/>
      <c r="K6" s="404" t="n"/>
      <c r="L6" s="392" t="n"/>
      <c r="M6" s="391" t="n"/>
      <c r="N6" s="392">
        <f>L6+M6</f>
        <v/>
      </c>
      <c r="O6" s="392" t="n">
        <v>0</v>
      </c>
    </row>
    <row r="7" ht="17.25" customFormat="1" customHeight="1" s="6">
      <c r="A7" s="51" t="n"/>
      <c r="B7" s="52" t="n"/>
      <c r="C7" s="53" t="n"/>
      <c r="D7" s="402" t="n"/>
      <c r="E7" s="53" t="n"/>
      <c r="F7" s="54" t="n"/>
      <c r="G7" s="54" t="n"/>
      <c r="H7" s="408" t="n"/>
      <c r="I7" s="403" t="n"/>
      <c r="J7" s="406" t="n"/>
      <c r="K7" s="406" t="n"/>
      <c r="L7" s="400" t="n"/>
      <c r="M7" s="435" t="n"/>
      <c r="N7" s="400">
        <f>L7+M7</f>
        <v/>
      </c>
      <c r="O7" s="392" t="n">
        <v>0</v>
      </c>
    </row>
    <row r="8" ht="17.25" customFormat="1" customHeight="1" s="6">
      <c r="A8" s="89" t="n"/>
      <c r="B8" s="48" t="n"/>
      <c r="C8" s="99" t="n"/>
      <c r="D8" s="399" t="n"/>
      <c r="E8" s="39" t="n"/>
      <c r="F8" s="40" t="n"/>
      <c r="G8" s="40" t="n"/>
      <c r="H8" s="39" t="n"/>
      <c r="I8" s="393" t="n"/>
      <c r="J8" s="404" t="n"/>
      <c r="K8" s="404" t="n"/>
      <c r="L8" s="392" t="n"/>
      <c r="M8" s="391" t="n"/>
      <c r="N8" s="392">
        <f>L8+M8</f>
        <v/>
      </c>
      <c r="O8" s="392" t="n">
        <v>0</v>
      </c>
    </row>
    <row r="9" ht="17.25" customFormat="1" customHeight="1" s="6">
      <c r="A9" s="89" t="n"/>
      <c r="B9" s="48" t="n"/>
      <c r="C9" s="39" t="n"/>
      <c r="D9" s="399" t="n"/>
      <c r="E9" s="39" t="n"/>
      <c r="F9" s="40" t="n"/>
      <c r="G9" s="40" t="n"/>
      <c r="H9" s="39" t="n"/>
      <c r="I9" s="393" t="n"/>
      <c r="J9" s="404" t="n"/>
      <c r="K9" s="404" t="n"/>
      <c r="L9" s="392" t="n"/>
      <c r="M9" s="391" t="n"/>
      <c r="N9" s="392">
        <f>L9+M9</f>
        <v/>
      </c>
      <c r="O9" s="392" t="n">
        <v>0</v>
      </c>
    </row>
    <row r="10" ht="17.25" customFormat="1" customHeight="1" s="6">
      <c r="A10" s="89" t="n"/>
      <c r="B10" s="48" t="n"/>
      <c r="C10" s="39" t="n"/>
      <c r="D10" s="39" t="n"/>
      <c r="E10" s="39" t="n"/>
      <c r="F10" s="40" t="n"/>
      <c r="G10" s="40" t="n"/>
      <c r="H10" s="39" t="n"/>
      <c r="I10" s="393" t="n"/>
      <c r="J10" s="404" t="n"/>
      <c r="K10" s="404" t="n"/>
      <c r="L10" s="392" t="n"/>
      <c r="M10" s="391" t="n"/>
      <c r="N10" s="392">
        <f>L10+M10</f>
        <v/>
      </c>
      <c r="O10" s="392" t="n">
        <v>0</v>
      </c>
    </row>
    <row r="11" ht="17.25" customFormat="1" customHeight="1" s="6">
      <c r="A11" s="47" t="n"/>
      <c r="B11" s="48" t="n"/>
      <c r="C11" s="39" t="n"/>
      <c r="D11" s="440" t="n"/>
      <c r="E11" s="39" t="n"/>
      <c r="F11" s="40" t="n"/>
      <c r="G11" s="40" t="n"/>
      <c r="H11" s="39" t="n"/>
      <c r="I11" s="393" t="n"/>
      <c r="J11" s="404" t="n"/>
      <c r="K11" s="404" t="n"/>
      <c r="L11" s="392" t="n"/>
      <c r="M11" s="391" t="n"/>
      <c r="N11" s="392">
        <f>L11+M11</f>
        <v/>
      </c>
      <c r="O11" s="392" t="n">
        <v>0</v>
      </c>
    </row>
    <row r="12" ht="17.25" customHeight="1" s="374">
      <c r="A12" s="45" t="n"/>
      <c r="B12" s="48" t="n"/>
      <c r="C12" s="39" t="n"/>
      <c r="D12" s="440" t="n"/>
      <c r="E12" s="39" t="n"/>
      <c r="F12" s="40" t="n"/>
      <c r="G12" s="40" t="n"/>
      <c r="H12" s="39" t="n"/>
      <c r="I12" s="393" t="n"/>
      <c r="J12" s="404" t="n"/>
      <c r="K12" s="404" t="n"/>
      <c r="L12" s="392" t="n"/>
      <c r="M12" s="391" t="n"/>
      <c r="N12" s="392">
        <f>L12+M12</f>
        <v/>
      </c>
      <c r="O12" s="392" t="n">
        <v>0</v>
      </c>
    </row>
    <row r="13" ht="17.25" customHeight="1" s="374">
      <c r="A13" s="45" t="n"/>
      <c r="B13" s="48" t="n"/>
      <c r="C13" s="39" t="n"/>
      <c r="D13" s="402" t="n"/>
      <c r="E13" s="53" t="n"/>
      <c r="F13" s="54" t="n"/>
      <c r="G13" s="54" t="n"/>
      <c r="H13" s="53" t="n"/>
      <c r="I13" s="403" t="n"/>
      <c r="J13" s="406" t="n"/>
      <c r="K13" s="406" t="n"/>
      <c r="L13" s="400" t="n"/>
      <c r="M13" s="435" t="n"/>
      <c r="N13" s="400">
        <f>L13+M13</f>
        <v/>
      </c>
      <c r="O13" s="392" t="n">
        <v>0</v>
      </c>
    </row>
    <row r="14" ht="17.25" customFormat="1" customHeight="1" s="6">
      <c r="A14" s="51" t="n"/>
      <c r="B14" s="52" t="n"/>
      <c r="C14" s="53" t="n"/>
      <c r="D14" s="402" t="n"/>
      <c r="E14" s="53" t="n"/>
      <c r="F14" s="54" t="n"/>
      <c r="G14" s="54" t="n"/>
      <c r="H14" s="408" t="n"/>
      <c r="I14" s="403" t="n"/>
      <c r="J14" s="406" t="n"/>
      <c r="K14" s="406" t="n"/>
      <c r="L14" s="400" t="n"/>
      <c r="M14" s="435" t="n"/>
      <c r="N14" s="400">
        <f>L14+M14</f>
        <v/>
      </c>
      <c r="O14" s="392" t="n">
        <v>0</v>
      </c>
    </row>
    <row r="15" ht="17.25" customHeight="1" s="374">
      <c r="A15" s="59" t="n"/>
      <c r="B15" s="52" t="n"/>
      <c r="C15" s="53" t="n"/>
      <c r="D15" s="402" t="n"/>
      <c r="E15" s="53" t="n"/>
      <c r="F15" s="54" t="n"/>
      <c r="G15" s="54" t="n"/>
      <c r="H15" s="53" t="n"/>
      <c r="I15" s="403" t="n"/>
      <c r="J15" s="406" t="n"/>
      <c r="K15" s="406" t="n"/>
      <c r="L15" s="400" t="n"/>
      <c r="M15" s="435" t="n"/>
      <c r="N15" s="400">
        <f>L15+M15</f>
        <v/>
      </c>
      <c r="O15" s="392" t="n">
        <v>0</v>
      </c>
    </row>
    <row r="16" ht="16.2" customHeight="1" s="374">
      <c r="A16" s="45" t="n"/>
      <c r="B16" s="48" t="n"/>
      <c r="C16" s="39" t="n"/>
      <c r="D16" s="399" t="n"/>
      <c r="E16" s="39" t="n"/>
      <c r="F16" s="40" t="n"/>
      <c r="G16" s="40" t="n"/>
      <c r="H16" s="39" t="n"/>
      <c r="I16" s="393" t="n"/>
      <c r="J16" s="404" t="n"/>
      <c r="K16" s="404" t="n"/>
      <c r="L16" s="392" t="n"/>
      <c r="M16" s="391" t="n"/>
      <c r="N16" s="400">
        <f>L16+M16</f>
        <v/>
      </c>
      <c r="O16" s="392" t="n">
        <v>0</v>
      </c>
    </row>
    <row r="17" ht="17.25" customHeight="1" s="374">
      <c r="A17" s="45" t="n"/>
      <c r="B17" s="46" t="n"/>
      <c r="C17" s="39" t="n"/>
      <c r="D17" s="405" t="n"/>
      <c r="E17" s="39" t="n"/>
      <c r="F17" s="40" t="n"/>
      <c r="G17" s="40" t="n"/>
      <c r="H17" s="39" t="n"/>
      <c r="I17" s="393" t="n"/>
      <c r="J17" s="404" t="n"/>
      <c r="K17" s="404" t="n"/>
      <c r="L17" s="392" t="n"/>
      <c r="M17" s="391" t="n"/>
      <c r="N17" s="400">
        <f>L17+M17</f>
        <v/>
      </c>
      <c r="O17" s="392" t="n">
        <v>0</v>
      </c>
    </row>
    <row r="18" ht="17.25" customHeight="1" s="374">
      <c r="A18" s="47" t="n"/>
      <c r="B18" s="48" t="n"/>
      <c r="C18" s="39" t="n"/>
      <c r="D18" s="405" t="n"/>
      <c r="E18" s="39" t="n"/>
      <c r="F18" s="40" t="n"/>
      <c r="G18" s="40" t="n"/>
      <c r="H18" s="39" t="n"/>
      <c r="I18" s="393" t="n"/>
      <c r="J18" s="404" t="n"/>
      <c r="K18" s="404" t="n"/>
      <c r="L18" s="392" t="n"/>
      <c r="M18" s="391" t="n"/>
      <c r="N18" s="400">
        <f>L18+M18</f>
        <v/>
      </c>
      <c r="O18" s="392" t="n">
        <v>0</v>
      </c>
    </row>
    <row r="19" ht="17.25" customHeight="1" s="374">
      <c r="A19" s="45" t="n"/>
      <c r="B19" s="46" t="n"/>
      <c r="C19" s="39" t="n"/>
      <c r="D19" s="399" t="n"/>
      <c r="E19" s="39" t="n"/>
      <c r="F19" s="40" t="n"/>
      <c r="G19" s="40" t="n"/>
      <c r="H19" s="39" t="n"/>
      <c r="I19" s="393" t="n"/>
      <c r="J19" s="404" t="n"/>
      <c r="K19" s="404" t="n"/>
      <c r="L19" s="392" t="n"/>
      <c r="M19" s="392" t="n"/>
      <c r="N19" s="400">
        <f>L19+M19</f>
        <v/>
      </c>
      <c r="O19" s="392" t="n">
        <v>0</v>
      </c>
    </row>
    <row r="20" ht="17.25" customHeight="1" s="374">
      <c r="A20" s="1" t="n"/>
      <c r="B20" s="8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6" t="n"/>
      <c r="L20" s="400" t="n"/>
      <c r="M20" s="400" t="n"/>
      <c r="N20" s="400">
        <f>L20+M20</f>
        <v/>
      </c>
      <c r="O20" s="392" t="n">
        <v>0</v>
      </c>
    </row>
    <row r="21" ht="16.2" customHeight="1" s="374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6" t="n"/>
      <c r="L21" s="400" t="n"/>
      <c r="M21" s="400" t="n"/>
      <c r="N21" s="400">
        <f>L21+M21</f>
        <v/>
      </c>
      <c r="O21" s="392" t="n">
        <v>0</v>
      </c>
    </row>
    <row r="22" ht="16.2" customHeight="1" s="374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6" t="n"/>
      <c r="L22" s="400" t="n"/>
      <c r="M22" s="400" t="n"/>
      <c r="N22" s="400">
        <f>L22+M22</f>
        <v/>
      </c>
      <c r="O22" s="392" t="n">
        <v>0</v>
      </c>
    </row>
    <row r="23" ht="16.2" customHeight="1" s="374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6" t="n"/>
      <c r="L23" s="400" t="n"/>
      <c r="M23" s="400" t="n"/>
      <c r="N23" s="400">
        <f>L23+M23</f>
        <v/>
      </c>
      <c r="O23" s="392" t="n">
        <v>0</v>
      </c>
    </row>
    <row r="24" ht="16.2" customHeight="1" s="37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6" t="n"/>
      <c r="L24" s="400" t="n"/>
      <c r="M24" s="400" t="n"/>
      <c r="N24" s="400">
        <f>L24+M24</f>
        <v/>
      </c>
      <c r="O24" s="392" t="n">
        <v>0</v>
      </c>
    </row>
    <row r="25" ht="16.2" customHeight="1" s="374">
      <c r="A25" s="51" t="n"/>
      <c r="B25" s="62" t="n"/>
      <c r="C25" s="53" t="n"/>
      <c r="D25" s="407" t="n"/>
      <c r="E25" s="53" t="n"/>
      <c r="F25" s="61" t="n"/>
      <c r="G25" s="61" t="n"/>
      <c r="H25" s="53" t="n"/>
      <c r="I25" s="403" t="n"/>
      <c r="J25" s="406" t="n"/>
      <c r="K25" s="406" t="n"/>
      <c r="L25" s="400" t="n"/>
      <c r="M25" s="400" t="n"/>
      <c r="N25" s="400">
        <f>L25+M25</f>
        <v/>
      </c>
      <c r="O25" s="392" t="n">
        <v>0</v>
      </c>
    </row>
    <row r="26" ht="16.2" customHeight="1" s="374">
      <c r="A26" s="51" t="n"/>
      <c r="B26" s="62" t="n"/>
      <c r="C26" s="53" t="n"/>
      <c r="D26" s="53" t="n"/>
      <c r="E26" s="53" t="n"/>
      <c r="F26" s="61" t="n"/>
      <c r="G26" s="61" t="n"/>
      <c r="H26" s="53" t="n"/>
      <c r="I26" s="403" t="n"/>
      <c r="J26" s="406" t="n"/>
      <c r="K26" s="406" t="n"/>
      <c r="L26" s="400" t="n"/>
      <c r="M26" s="400" t="n"/>
      <c r="N26" s="400">
        <f>L26+M26</f>
        <v/>
      </c>
      <c r="O26" s="392" t="n">
        <v>0</v>
      </c>
    </row>
    <row r="27" ht="16.2" customHeight="1" s="374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6" t="n"/>
      <c r="L27" s="400" t="n"/>
      <c r="M27" s="400" t="n"/>
      <c r="N27" s="400">
        <f>L27+M27</f>
        <v/>
      </c>
      <c r="O27" s="392" t="n">
        <v>0</v>
      </c>
    </row>
    <row r="28" ht="16.2" customHeight="1" s="374">
      <c r="A28" s="51" t="n"/>
      <c r="B28" s="62" t="n"/>
      <c r="C28" s="53" t="n"/>
      <c r="D28" s="407" t="n"/>
      <c r="E28" s="53" t="n"/>
      <c r="F28" s="61" t="n"/>
      <c r="G28" s="61" t="n"/>
      <c r="H28" s="53" t="n"/>
      <c r="I28" s="403" t="n"/>
      <c r="J28" s="406" t="n"/>
      <c r="K28" s="406" t="n"/>
      <c r="L28" s="400" t="n"/>
      <c r="M28" s="400" t="n"/>
      <c r="N28" s="400">
        <f>L28+M28</f>
        <v/>
      </c>
      <c r="O28" s="392" t="n">
        <v>0</v>
      </c>
    </row>
    <row r="29" ht="16.2" customHeight="1" s="374">
      <c r="A29" s="51" t="n"/>
      <c r="B29" s="62" t="n"/>
      <c r="C29" s="53" t="n"/>
      <c r="D29" s="53" t="n"/>
      <c r="E29" s="53" t="n"/>
      <c r="F29" s="61" t="n"/>
      <c r="G29" s="61" t="n"/>
      <c r="H29" s="53" t="n"/>
      <c r="I29" s="403" t="n"/>
      <c r="J29" s="406" t="n"/>
      <c r="K29" s="406" t="n"/>
      <c r="L29" s="400" t="n"/>
      <c r="M29" s="400" t="n"/>
      <c r="N29" s="400">
        <f>L29+M29</f>
        <v/>
      </c>
      <c r="O29" s="392" t="n">
        <v>0</v>
      </c>
    </row>
    <row r="30" ht="16.2" customHeight="1" s="374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6" t="n"/>
      <c r="L30" s="400" t="n"/>
      <c r="M30" s="400" t="n"/>
      <c r="N30" s="400">
        <f>L30+M30</f>
        <v/>
      </c>
      <c r="O30" s="392" t="n">
        <v>0</v>
      </c>
    </row>
    <row r="31" ht="16.2" customHeight="1" s="374">
      <c r="A31" s="51" t="n"/>
      <c r="B31" s="62" t="n"/>
      <c r="C31" s="53" t="n"/>
      <c r="D31" s="427" t="n"/>
      <c r="E31" s="53" t="n"/>
      <c r="F31" s="61" t="n"/>
      <c r="G31" s="61" t="n"/>
      <c r="H31" s="53" t="n"/>
      <c r="I31" s="403" t="n"/>
      <c r="J31" s="406" t="n"/>
      <c r="K31" s="406" t="n"/>
      <c r="L31" s="400" t="n"/>
      <c r="M31" s="400" t="n"/>
      <c r="N31" s="400">
        <f>L31+M31</f>
        <v/>
      </c>
      <c r="O31" s="392" t="n">
        <v>0</v>
      </c>
    </row>
    <row r="32" ht="16.2" customHeight="1" s="374">
      <c r="A32" s="51" t="n"/>
      <c r="B32" s="62" t="n"/>
      <c r="C32" s="53" t="n"/>
      <c r="D32" s="381" t="n"/>
      <c r="E32" s="53" t="n"/>
      <c r="F32" s="61" t="n"/>
      <c r="G32" s="61" t="n"/>
      <c r="H32" s="53" t="n"/>
      <c r="I32" s="403" t="n"/>
      <c r="J32" s="406" t="n"/>
      <c r="K32" s="406" t="n"/>
      <c r="L32" s="400" t="n"/>
      <c r="M32" s="400" t="n"/>
      <c r="N32" s="400">
        <f>L32+M32</f>
        <v/>
      </c>
      <c r="O32" s="392" t="n">
        <v>0</v>
      </c>
    </row>
    <row r="33" ht="16.2" customHeight="1" s="374">
      <c r="A33" s="51" t="n"/>
      <c r="B33" s="62" t="n"/>
      <c r="C33" s="53" t="n"/>
      <c r="D33" s="9" t="n"/>
      <c r="E33" s="53" t="n"/>
      <c r="F33" s="61" t="n"/>
      <c r="G33" s="61" t="n"/>
      <c r="H33" s="53" t="n"/>
      <c r="I33" s="403" t="n"/>
      <c r="J33" s="406" t="n"/>
      <c r="K33" s="406" t="n"/>
      <c r="L33" s="400" t="n"/>
      <c r="M33" s="400" t="n"/>
      <c r="N33" s="400">
        <f>L33+M33</f>
        <v/>
      </c>
      <c r="O33" s="392" t="n">
        <v>0</v>
      </c>
    </row>
    <row r="34" ht="16.2" customHeight="1" s="374">
      <c r="A34" s="51" t="n"/>
      <c r="B34" s="62" t="n"/>
      <c r="C34" s="53" t="n"/>
      <c r="D34" s="381" t="n"/>
      <c r="E34" s="53" t="n"/>
      <c r="F34" s="61" t="n"/>
      <c r="G34" s="61" t="n"/>
      <c r="H34" s="53" t="n"/>
      <c r="I34" s="403" t="n"/>
      <c r="J34" s="406" t="n"/>
      <c r="K34" s="406" t="n"/>
      <c r="L34" s="400" t="n"/>
      <c r="M34" s="400" t="n"/>
      <c r="N34" s="400">
        <f>L34+M34</f>
        <v/>
      </c>
      <c r="O34" s="392" t="n">
        <v>0</v>
      </c>
    </row>
    <row r="35" ht="16.2" customHeight="1" s="374">
      <c r="A35" s="51" t="n"/>
      <c r="B35" s="62" t="n"/>
      <c r="C35" s="53" t="n"/>
      <c r="D35" s="381" t="n"/>
      <c r="E35" s="53" t="n"/>
      <c r="F35" s="61" t="n"/>
      <c r="G35" s="61" t="inlineStr">
        <is>
          <t>:</t>
        </is>
      </c>
      <c r="H35" s="53" t="n"/>
      <c r="I35" s="403" t="n"/>
      <c r="J35" s="406" t="n"/>
      <c r="K35" s="406" t="n"/>
      <c r="L35" s="400" t="n"/>
      <c r="M35" s="400" t="n"/>
      <c r="N35" s="400">
        <f>L35+M35</f>
        <v/>
      </c>
      <c r="O35" s="392" t="n">
        <v>0</v>
      </c>
    </row>
    <row r="36" ht="16.2" customHeight="1" s="374">
      <c r="A36" s="51" t="n"/>
      <c r="B36" s="62" t="n"/>
      <c r="C36" s="53" t="n"/>
      <c r="D36" s="407" t="n"/>
      <c r="E36" s="10" t="n"/>
      <c r="F36" s="61" t="n"/>
      <c r="G36" s="61" t="n"/>
      <c r="H36" s="10" t="n"/>
      <c r="I36" s="412" t="n"/>
      <c r="J36" s="409" t="n"/>
      <c r="K36" s="409" t="n"/>
      <c r="L36" s="410" t="n"/>
      <c r="M36" s="410" t="n"/>
      <c r="N36" s="400">
        <f>L36+M36</f>
        <v/>
      </c>
      <c r="O36" s="392" t="n">
        <v>0</v>
      </c>
    </row>
    <row r="37" ht="16.2" customHeight="1" s="374">
      <c r="A37" s="20" t="n"/>
      <c r="B37" s="21" t="n"/>
      <c r="C37" s="22" t="n"/>
      <c r="D37" s="21" t="n"/>
      <c r="E37" s="21" t="n"/>
      <c r="F37" s="21" t="n"/>
      <c r="G37" s="21" t="n"/>
      <c r="H37" s="21" t="n"/>
      <c r="I37" s="416" t="n"/>
      <c r="J37" s="420" t="n"/>
      <c r="K37" s="420" t="n"/>
      <c r="L37" s="421" t="n"/>
      <c r="M37" s="421" t="n"/>
      <c r="N37" s="421" t="n"/>
      <c r="O37" s="392" t="n">
        <v>0</v>
      </c>
    </row>
    <row r="38" ht="16.2" customHeight="1" s="374">
      <c r="A38" s="20" t="n"/>
      <c r="B38" s="21" t="n"/>
      <c r="C38" s="22" t="n"/>
      <c r="D38" s="21" t="n"/>
      <c r="E38" s="21" t="n"/>
      <c r="F38" s="21" t="n"/>
      <c r="G38" s="21" t="n"/>
      <c r="H38" s="21" t="n"/>
      <c r="J38" s="420" t="n"/>
      <c r="K38" s="420" t="n"/>
      <c r="L38" s="421" t="n"/>
      <c r="M38" s="421" t="n"/>
    </row>
    <row r="39" ht="16.2" customHeight="1" s="374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0" t="n"/>
      <c r="L39" s="421" t="n"/>
      <c r="M39" s="421" t="n"/>
      <c r="N39" s="424" t="n"/>
    </row>
    <row r="40" ht="16.2" customHeight="1" s="374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0" t="n"/>
      <c r="L40" s="421" t="n"/>
      <c r="M40" s="421" t="n"/>
      <c r="N40" s="423">
        <f>SUM(N2:N37)</f>
        <v/>
      </c>
      <c r="O40" s="423">
        <f>SUM(O2:O36)</f>
        <v/>
      </c>
    </row>
    <row r="41" ht="16.2" customHeight="1" s="374">
      <c r="C41" s="30" t="n"/>
    </row>
    <row r="42" ht="16.2" customHeight="1" s="374">
      <c r="C42" s="30" t="n"/>
    </row>
    <row r="43" ht="16.2" customHeight="1" s="374">
      <c r="C43" s="30" t="n"/>
    </row>
    <row r="44" ht="16.2" customHeight="1" s="374">
      <c r="C44" s="30" t="n"/>
    </row>
    <row r="45" ht="16.2" customHeight="1" s="374">
      <c r="C45" s="30" t="n"/>
    </row>
    <row r="46" ht="16.2" customHeight="1" s="374">
      <c r="C46" s="30" t="n"/>
    </row>
    <row r="47" ht="16.2" customHeight="1" s="374">
      <c r="C47" s="30" t="n"/>
    </row>
    <row r="48" ht="16.2" customHeight="1" s="374">
      <c r="C48" s="30" t="n"/>
    </row>
    <row r="49" ht="16.2" customHeight="1" s="374">
      <c r="C49" s="30" t="n"/>
    </row>
    <row r="50" ht="16.2" customHeight="1" s="374">
      <c r="C50" s="30" t="n"/>
    </row>
    <row r="51" ht="16.2" customHeight="1" s="374">
      <c r="C51" s="30" t="n"/>
    </row>
    <row r="52" ht="16.2" customHeight="1" s="374">
      <c r="C52" s="30" t="n"/>
    </row>
    <row r="53" ht="16.2" customHeight="1" s="374">
      <c r="C53" s="30" t="n"/>
    </row>
    <row r="54" ht="16.2" customHeight="1" s="374">
      <c r="C54" s="30" t="n"/>
    </row>
    <row r="55" ht="16.2" customHeight="1" s="374">
      <c r="C55" s="30" t="n"/>
    </row>
    <row r="56" ht="16.2" customHeight="1" s="374">
      <c r="C56" s="30" t="n"/>
    </row>
    <row r="57" ht="16.2" customHeight="1" s="374">
      <c r="C57" s="30" t="n"/>
    </row>
    <row r="58" ht="16.2" customHeight="1" s="374">
      <c r="C58" s="30" t="n"/>
    </row>
    <row r="59" ht="16.2" customHeight="1" s="374">
      <c r="C59" s="30" t="n"/>
    </row>
    <row r="60" ht="16.2" customHeight="1" s="374">
      <c r="C60" s="30" t="n"/>
    </row>
    <row r="61" ht="16.2" customHeight="1" s="374">
      <c r="C61" s="30" t="n"/>
    </row>
    <row r="62" ht="16.2" customHeight="1" s="374">
      <c r="C62" s="30" t="n"/>
    </row>
    <row r="63" ht="16.2" customHeight="1" s="374">
      <c r="C63" s="30" t="n"/>
    </row>
    <row r="64" ht="16.2" customHeight="1" s="374">
      <c r="C64" s="30" t="n"/>
    </row>
    <row r="65" ht="16.2" customHeight="1" s="374">
      <c r="C65" s="30" t="n"/>
    </row>
    <row r="66" ht="16.2" customHeight="1" s="374">
      <c r="C66" s="30" t="n"/>
    </row>
    <row r="67" ht="16.2" customHeight="1" s="374">
      <c r="C67" s="30" t="n"/>
    </row>
    <row r="68" ht="16.2" customHeight="1" s="374">
      <c r="C68" s="30" t="n"/>
    </row>
    <row r="69" ht="16.2" customHeight="1" s="374">
      <c r="C69" s="30" t="n"/>
    </row>
    <row r="70" ht="16.2" customHeight="1" s="374">
      <c r="C70" s="30" t="n"/>
    </row>
    <row r="71" ht="16.2" customHeight="1" s="374">
      <c r="C71" s="30" t="n"/>
    </row>
    <row r="72" ht="16.2" customHeight="1" s="374">
      <c r="C72" s="30" t="n"/>
    </row>
    <row r="73" ht="16.2" customHeight="1" s="374">
      <c r="C73" s="30" t="n"/>
    </row>
    <row r="74" ht="16.2" customHeight="1" s="374">
      <c r="C74" s="30" t="n"/>
    </row>
    <row r="75" ht="16.2" customHeight="1" s="374">
      <c r="C75" s="30" t="n"/>
    </row>
    <row r="76" ht="16.2" customHeight="1" s="374">
      <c r="C76" s="30" t="n"/>
    </row>
    <row r="77" ht="16.2" customHeight="1" s="374">
      <c r="C77" s="30" t="n"/>
    </row>
    <row r="78" ht="16.2" customHeight="1" s="374">
      <c r="C78" s="30" t="n"/>
    </row>
    <row r="79" ht="16.2" customHeight="1" s="374">
      <c r="C79" s="30" t="n"/>
    </row>
    <row r="80" ht="16.2" customHeight="1" s="374">
      <c r="C80" s="30" t="n"/>
    </row>
    <row r="81" ht="16.2" customHeight="1" s="374">
      <c r="C81" s="30" t="n"/>
    </row>
    <row r="82" ht="16.2" customHeight="1" s="374">
      <c r="C82" s="30" t="n"/>
    </row>
    <row r="83" ht="16.2" customHeight="1" s="374">
      <c r="C83" s="30" t="n"/>
    </row>
    <row r="84" ht="16.2" customHeight="1" s="374">
      <c r="C84" s="30" t="n"/>
    </row>
    <row r="85" ht="16.2" customHeight="1" s="374">
      <c r="C85" s="30" t="n"/>
    </row>
    <row r="86" ht="16.2" customHeight="1" s="374">
      <c r="C86" s="30" t="n"/>
    </row>
    <row r="87" ht="16.2" customHeight="1" s="374">
      <c r="C87" s="30" t="n"/>
    </row>
    <row r="88" ht="16.2" customHeight="1" s="374">
      <c r="C88" s="30" t="n"/>
    </row>
    <row r="89" ht="16.2" customHeight="1" s="374">
      <c r="C89" s="30" t="n"/>
    </row>
    <row r="90" ht="16.2" customHeight="1" s="374">
      <c r="C90" s="30" t="n"/>
    </row>
    <row r="91" ht="16.2" customHeight="1" s="374">
      <c r="C91" s="30" t="n"/>
    </row>
    <row r="92" ht="16.2" customHeight="1" s="374">
      <c r="C92" s="30" t="n"/>
    </row>
    <row r="93" ht="16.2" customHeight="1" s="374">
      <c r="C93" s="30" t="n"/>
    </row>
    <row r="94" ht="16.2" customHeight="1" s="374">
      <c r="C94" s="30" t="n"/>
    </row>
    <row r="95" ht="16.2" customHeight="1" s="374">
      <c r="C95" s="30" t="n"/>
    </row>
    <row r="96" ht="16.2" customHeight="1" s="374">
      <c r="C96" s="30" t="n"/>
    </row>
    <row r="97" ht="16.2" customHeight="1" s="374">
      <c r="C97" s="30" t="n"/>
    </row>
    <row r="98" ht="16.2" customHeight="1" s="374">
      <c r="C98" s="30" t="n"/>
    </row>
    <row r="99" ht="16.2" customHeight="1" s="374">
      <c r="C99" s="30" t="n"/>
    </row>
    <row r="100" ht="16.2" customHeight="1" s="374">
      <c r="C100" s="30" t="n"/>
    </row>
    <row r="101" ht="16.2" customHeight="1" s="374">
      <c r="C101" s="30" t="n"/>
    </row>
    <row r="102" ht="16.2" customHeight="1" s="374">
      <c r="C102" s="30" t="n"/>
    </row>
    <row r="103" ht="16.2" customHeight="1" s="374">
      <c r="C103" s="30" t="n"/>
    </row>
    <row r="104" ht="16.2" customHeight="1" s="374">
      <c r="C104" s="30" t="n"/>
    </row>
    <row r="105" ht="16.2" customHeight="1" s="374">
      <c r="C105" s="30" t="n"/>
    </row>
    <row r="106" ht="16.2" customHeight="1" s="374">
      <c r="C106" s="30" t="n"/>
    </row>
    <row r="107" ht="16.2" customHeight="1" s="374">
      <c r="C107" s="30" t="n"/>
    </row>
    <row r="108" ht="16.2" customHeight="1" s="374">
      <c r="C108" s="30" t="n"/>
    </row>
    <row r="109" ht="16.2" customHeight="1" s="374">
      <c r="C109" s="30" t="n"/>
    </row>
    <row r="110" ht="16.2" customHeight="1" s="374">
      <c r="C110" s="30" t="n"/>
    </row>
    <row r="111" ht="16.2" customHeight="1" s="374">
      <c r="C111" s="30" t="n"/>
    </row>
    <row r="112" ht="16.2" customHeight="1" s="374">
      <c r="C112" s="30" t="n"/>
    </row>
    <row r="113" ht="16.2" customHeight="1" s="374">
      <c r="C113" s="30" t="n"/>
    </row>
    <row r="114" ht="16.2" customHeight="1" s="374">
      <c r="C114" s="30" t="n"/>
    </row>
    <row r="115" ht="16.2" customHeight="1" s="374">
      <c r="C115" s="30" t="n"/>
    </row>
    <row r="116" ht="16.2" customHeight="1" s="374">
      <c r="C116" s="30" t="n"/>
    </row>
    <row r="117" ht="16.2" customHeight="1" s="374">
      <c r="C117" s="30" t="n"/>
    </row>
    <row r="118" ht="16.2" customHeight="1" s="374">
      <c r="C118" s="30" t="n"/>
    </row>
    <row r="119" ht="16.2" customHeight="1" s="374">
      <c r="C119" s="30" t="n"/>
    </row>
    <row r="120" ht="16.2" customHeight="1" s="374">
      <c r="C120" s="30" t="n"/>
    </row>
    <row r="121" ht="16.2" customHeight="1" s="374">
      <c r="C121" s="30" t="n"/>
    </row>
    <row r="122" ht="16.2" customHeight="1" s="374">
      <c r="C122" s="30" t="n"/>
    </row>
    <row r="123" ht="16.2" customHeight="1" s="374">
      <c r="C123" s="30" t="n"/>
    </row>
    <row r="124" ht="16.2" customHeight="1" s="374">
      <c r="C124" s="30" t="n"/>
    </row>
    <row r="125" ht="16.2" customHeight="1" s="374">
      <c r="C125" s="30" t="n"/>
    </row>
    <row r="126" ht="16.2" customHeight="1" s="374">
      <c r="C126" s="30" t="n"/>
    </row>
    <row r="127" ht="16.2" customHeight="1" s="374">
      <c r="C127" s="30" t="n"/>
    </row>
    <row r="128" ht="16.2" customHeight="1" s="374">
      <c r="C128" s="30" t="n"/>
    </row>
    <row r="129" ht="16.2" customHeight="1" s="374">
      <c r="C129" s="30" t="n"/>
    </row>
    <row r="130" ht="16.2" customHeight="1" s="374">
      <c r="C130" s="30" t="n"/>
    </row>
    <row r="131" ht="16.2" customHeight="1" s="374">
      <c r="C131" s="30" t="n"/>
    </row>
    <row r="132" ht="16.2" customHeight="1" s="374">
      <c r="C132" s="30" t="n"/>
    </row>
  </sheetData>
  <autoFilter ref="A1:O36"/>
  <pageMargins left="0.7" right="0.7" top="0.75" bottom="0.75" header="0.3" footer="0.3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2"/>
  <sheetViews>
    <sheetView zoomScale="49" zoomScaleNormal="49" workbookViewId="0">
      <selection activeCell="G32" sqref="G32"/>
    </sheetView>
  </sheetViews>
  <sheetFormatPr baseColWidth="8" defaultColWidth="8.77734375" defaultRowHeight="16.2"/>
  <cols>
    <col width="11" customWidth="1" style="29" min="1" max="1"/>
    <col width="60.777343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/>
      <c r="B2" s="46" t="n"/>
      <c r="C2" s="91" t="n"/>
      <c r="D2" s="399" t="n"/>
      <c r="E2" s="102" t="n"/>
      <c r="F2" s="111" t="n"/>
      <c r="G2" s="111" t="n"/>
      <c r="H2" s="39" t="n"/>
      <c r="I2" s="393" t="n"/>
      <c r="J2" s="395" t="n"/>
      <c r="K2" s="396" t="n"/>
      <c r="L2" s="429" t="n"/>
      <c r="M2" s="392">
        <f>K2+L2</f>
        <v/>
      </c>
      <c r="N2" s="392" t="n">
        <v>0</v>
      </c>
    </row>
    <row r="3" ht="17.25" customFormat="1" customHeight="1" s="110">
      <c r="A3" s="147" t="n"/>
      <c r="B3" s="46" t="n"/>
      <c r="C3" s="91" t="n"/>
      <c r="D3" s="437" t="n"/>
      <c r="E3" s="160" t="n"/>
      <c r="F3" s="111" t="n"/>
      <c r="G3" s="111" t="n"/>
      <c r="H3" s="91" t="n"/>
      <c r="I3" s="389" t="n"/>
      <c r="J3" s="395" t="n"/>
      <c r="K3" s="396" t="n"/>
      <c r="L3" s="429" t="n"/>
      <c r="M3" s="392">
        <f>K3+L3</f>
        <v/>
      </c>
      <c r="N3" s="392" t="n">
        <v>0</v>
      </c>
    </row>
    <row r="4" ht="17.25" customFormat="1" customHeight="1" s="110">
      <c r="A4" s="147" t="n"/>
      <c r="B4" s="46" t="n"/>
      <c r="C4" s="91" t="n"/>
      <c r="D4" s="437" t="n"/>
      <c r="E4" s="160" t="n"/>
      <c r="F4" s="111" t="n"/>
      <c r="G4" s="111" t="n"/>
      <c r="H4" s="91" t="n"/>
      <c r="I4" s="389" t="n"/>
      <c r="J4" s="404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147" t="n"/>
      <c r="B5" s="46" t="n"/>
      <c r="C5" s="91" t="n"/>
      <c r="D5" s="437" t="n"/>
      <c r="E5" s="160" t="n"/>
      <c r="F5" s="111" t="n"/>
      <c r="G5" s="111" t="n"/>
      <c r="H5" s="91" t="n"/>
      <c r="I5" s="389" t="n"/>
      <c r="J5" s="404" t="n"/>
      <c r="K5" s="392" t="n"/>
      <c r="L5" s="391" t="n"/>
      <c r="M5" s="392">
        <f>K5+L5</f>
        <v/>
      </c>
      <c r="N5" s="392" t="n">
        <v>0</v>
      </c>
    </row>
    <row r="6" ht="17.25" customFormat="1" customHeight="1" s="6">
      <c r="A6" s="158" t="n"/>
      <c r="B6" s="48" t="n"/>
      <c r="C6" s="158" t="n"/>
      <c r="D6" s="399" t="n"/>
      <c r="E6" s="39" t="n"/>
      <c r="F6" s="111" t="n"/>
      <c r="G6" s="111" t="n"/>
      <c r="H6" s="39" t="n"/>
      <c r="I6" s="393" t="n"/>
      <c r="J6" s="404" t="n"/>
      <c r="K6" s="396" t="n"/>
      <c r="L6" s="429" t="n"/>
      <c r="M6" s="392">
        <f>K6+L6</f>
        <v/>
      </c>
      <c r="N6" s="392" t="n">
        <v>0</v>
      </c>
    </row>
    <row r="7" ht="17.25" customFormat="1" customHeight="1" s="6">
      <c r="A7" s="89" t="n"/>
      <c r="B7" s="48" t="n"/>
      <c r="C7" s="39" t="n"/>
      <c r="D7" s="399" t="n"/>
      <c r="E7" s="39" t="n"/>
      <c r="F7" s="40" t="n"/>
      <c r="G7" s="40" t="n"/>
      <c r="H7" s="398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Format="1" customHeight="1" s="6">
      <c r="A8" s="89" t="n"/>
      <c r="B8" s="98" t="n"/>
      <c r="C8" s="39" t="n"/>
      <c r="D8" s="99" t="n"/>
      <c r="E8" s="39" t="n"/>
      <c r="F8" s="40" t="n"/>
      <c r="G8" s="40" t="n"/>
      <c r="H8" s="39" t="n"/>
      <c r="I8" s="393" t="n"/>
      <c r="J8" s="393" t="n"/>
      <c r="K8" s="396" t="n"/>
      <c r="L8" s="429" t="n"/>
      <c r="M8" s="392">
        <f>K8+L8</f>
        <v/>
      </c>
      <c r="N8" s="392" t="n">
        <v>0</v>
      </c>
    </row>
    <row r="9" ht="17.25" customFormat="1" customHeight="1" s="6">
      <c r="A9" s="89" t="n"/>
      <c r="B9" s="48" t="n"/>
      <c r="C9" s="39" t="n"/>
      <c r="D9" s="445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89" t="n"/>
      <c r="B10" s="48" t="n"/>
      <c r="C10" s="39" t="n"/>
      <c r="D10" s="445" t="n"/>
      <c r="E10" s="102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48" t="n"/>
      <c r="C11" s="39" t="n"/>
      <c r="D11" s="445" t="n"/>
      <c r="E11" s="102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47" t="n"/>
      <c r="B12" s="48" t="n"/>
      <c r="C12" s="39" t="n"/>
      <c r="D12" s="446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47" t="n"/>
      <c r="B13" s="48" t="n"/>
      <c r="C13" s="39" t="n"/>
      <c r="D13" s="447" t="n"/>
      <c r="E13" s="91" t="n"/>
      <c r="F13" s="111" t="n"/>
      <c r="G13" s="111" t="n"/>
      <c r="H13" s="91" t="n"/>
      <c r="I13" s="389" t="n"/>
      <c r="J13" s="395" t="n"/>
      <c r="K13" s="392" t="n"/>
      <c r="L13" s="391" t="n"/>
      <c r="M13" s="392">
        <f>K13+L13</f>
        <v/>
      </c>
      <c r="N13" s="392" t="n">
        <v>0</v>
      </c>
    </row>
    <row r="14" ht="17.25" customHeight="1" s="374">
      <c r="A14" s="47" t="n"/>
      <c r="B14" s="48" t="n"/>
      <c r="C14" s="39" t="n"/>
      <c r="D14" s="91" t="n"/>
      <c r="E14" s="91" t="n"/>
      <c r="F14" s="111" t="n"/>
      <c r="G14" s="111" t="n"/>
      <c r="H14" s="91" t="n"/>
      <c r="I14" s="389" t="n"/>
      <c r="J14" s="395" t="n"/>
      <c r="K14" s="392" t="n"/>
      <c r="L14" s="391" t="n"/>
      <c r="M14" s="392">
        <f>K14+L14</f>
        <v/>
      </c>
      <c r="N14" s="392" t="n">
        <v>0</v>
      </c>
      <c r="O14" s="146" t="n"/>
      <c r="P14" s="146" t="n"/>
    </row>
    <row r="15" ht="17.25" customFormat="1" customHeight="1" s="6">
      <c r="A15" s="89" t="n"/>
      <c r="B15" s="98" t="n"/>
      <c r="C15" s="39" t="n"/>
      <c r="D15" s="99" t="n"/>
      <c r="E15" s="39" t="n"/>
      <c r="F15" s="40" t="n"/>
      <c r="G15" s="40" t="n"/>
      <c r="H15" s="39" t="n"/>
      <c r="I15" s="393" t="n"/>
      <c r="J15" s="393" t="n"/>
      <c r="K15" s="396" t="n"/>
      <c r="L15" s="429" t="n"/>
      <c r="M15" s="392">
        <f>K15+L15</f>
        <v/>
      </c>
      <c r="N15" s="392" t="n">
        <v>0</v>
      </c>
    </row>
    <row r="16" ht="17.25" customHeight="1" s="374">
      <c r="A16" s="47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 ht="17.25" customHeight="1" s="374">
      <c r="A17" s="45" t="n"/>
      <c r="B17" s="46" t="n"/>
      <c r="C17" s="39" t="n"/>
      <c r="D17" s="399" t="n"/>
      <c r="E17" s="39" t="n"/>
      <c r="F17" s="40" t="n"/>
      <c r="G17" s="40" t="n"/>
      <c r="H17" s="39" t="n"/>
      <c r="I17" s="393" t="n"/>
      <c r="J17" s="404" t="n"/>
      <c r="K17" s="392" t="n"/>
      <c r="L17" s="392" t="n"/>
      <c r="M17" s="400">
        <f>K17+L17</f>
        <v/>
      </c>
      <c r="N17" s="392" t="n">
        <v>0</v>
      </c>
    </row>
    <row r="18" ht="17.25" customHeight="1" s="374">
      <c r="A18" s="1" t="n"/>
      <c r="B18" s="8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395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4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27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9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407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38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38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7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SUM(M2:M38)</f>
        <v/>
      </c>
      <c r="N40" s="423">
        <f>SUM(N2:N37)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048576"/>
  <sheetViews>
    <sheetView zoomScale="69" zoomScaleNormal="69" workbookViewId="0">
      <selection activeCell="A10" sqref="A5:A10"/>
    </sheetView>
  </sheetViews>
  <sheetFormatPr baseColWidth="8" defaultColWidth="8.77734375" defaultRowHeight="16.2"/>
  <cols>
    <col width="10.6640625" customWidth="1" style="29" min="1" max="1"/>
    <col width="60.21875" customWidth="1" style="374" min="3" max="3"/>
    <col width="27.21875" customWidth="1" style="374" min="4" max="4"/>
    <col width="11" customWidth="1" style="374" min="5" max="5"/>
    <col width="9" bestFit="1" customWidth="1" style="374" min="6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 ht="17.25" customHeight="1" s="374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8" customFormat="1" customHeight="1" s="110">
      <c r="A2" s="99" t="n"/>
      <c r="B2" s="98" t="n"/>
      <c r="C2" s="91" t="n"/>
      <c r="D2" s="91" t="n"/>
      <c r="E2" s="91" t="n"/>
      <c r="F2" s="111" t="n"/>
      <c r="G2" s="111" t="n"/>
      <c r="H2" s="91" t="n"/>
      <c r="I2" s="389" t="n"/>
      <c r="J2" s="395" t="n"/>
      <c r="K2" s="396" t="n"/>
      <c r="L2" s="429" t="n"/>
      <c r="M2" s="392">
        <f>K2+L2</f>
        <v/>
      </c>
      <c r="N2" s="392" t="n">
        <v>0</v>
      </c>
    </row>
    <row r="3" ht="18" customFormat="1" customHeight="1" s="110">
      <c r="A3" s="89" t="n"/>
      <c r="B3" s="48" t="n"/>
      <c r="C3" s="99" t="n"/>
      <c r="D3" s="399" t="n"/>
      <c r="E3" s="39" t="n"/>
      <c r="F3" s="40" t="n"/>
      <c r="G3" s="40" t="n"/>
      <c r="H3" s="39" t="n"/>
      <c r="I3" s="393" t="n"/>
      <c r="J3" s="393" t="n"/>
      <c r="K3" s="392" t="n"/>
      <c r="L3" s="391" t="n"/>
      <c r="M3" s="392">
        <f>K3+L3</f>
        <v/>
      </c>
      <c r="N3" s="392" t="n">
        <v>0</v>
      </c>
    </row>
    <row r="4" ht="18" customFormat="1" customHeight="1" s="110">
      <c r="A4" s="89" t="n"/>
      <c r="B4" s="48" t="n"/>
      <c r="C4" s="99" t="n"/>
      <c r="D4" s="437" t="n"/>
      <c r="E4" s="39" t="n"/>
      <c r="F4" s="40" t="n"/>
      <c r="G4" s="40" t="n"/>
      <c r="H4" s="39" t="n"/>
      <c r="I4" s="393" t="n"/>
      <c r="J4" s="393" t="n"/>
      <c r="K4" s="392" t="n"/>
      <c r="L4" s="391" t="n"/>
      <c r="M4" s="392">
        <f>K4+L4</f>
        <v/>
      </c>
      <c r="N4" s="392" t="n">
        <v>0</v>
      </c>
    </row>
    <row r="5" ht="18" customFormat="1" customHeight="1" s="110">
      <c r="A5" s="89" t="n"/>
      <c r="B5" s="48" t="n"/>
      <c r="C5" s="99" t="n"/>
      <c r="D5" s="437" t="n"/>
      <c r="E5" s="39" t="n"/>
      <c r="F5" s="40" t="n"/>
      <c r="G5" s="40" t="n"/>
      <c r="H5" s="39" t="n"/>
      <c r="I5" s="393" t="n"/>
      <c r="J5" s="393" t="n"/>
      <c r="K5" s="392" t="n"/>
      <c r="L5" s="391" t="n"/>
      <c r="M5" s="392">
        <f>K5+L5</f>
        <v/>
      </c>
      <c r="N5" s="392" t="n">
        <v>0</v>
      </c>
    </row>
    <row r="6" ht="18" customFormat="1" customHeight="1" s="110">
      <c r="A6" s="147" t="n"/>
      <c r="B6" s="48" t="n"/>
      <c r="C6" s="91" t="n"/>
      <c r="D6" s="437" t="n"/>
      <c r="E6" s="91" t="n"/>
      <c r="F6" s="111" t="n"/>
      <c r="G6" s="111" t="n"/>
      <c r="H6" s="91" t="n"/>
      <c r="I6" s="389" t="n"/>
      <c r="J6" s="404" t="n"/>
      <c r="K6" s="392" t="n"/>
      <c r="L6" s="391" t="n"/>
      <c r="M6" s="392">
        <f>K6+L6</f>
        <v/>
      </c>
      <c r="N6" s="392" t="n">
        <v>0</v>
      </c>
    </row>
    <row r="7" ht="18" customFormat="1" customHeight="1" s="6">
      <c r="A7" s="147" t="n"/>
      <c r="B7" s="46" t="n"/>
      <c r="C7" s="91" t="n"/>
      <c r="D7" s="437" t="n"/>
      <c r="E7" s="160" t="n"/>
      <c r="F7" s="111" t="n"/>
      <c r="G7" s="111" t="n"/>
      <c r="H7" s="91" t="n"/>
      <c r="I7" s="389" t="n"/>
      <c r="J7" s="395" t="n"/>
      <c r="K7" s="396" t="n"/>
      <c r="L7" s="429" t="n"/>
      <c r="M7" s="392">
        <f>K7+L7</f>
        <v/>
      </c>
      <c r="N7" s="392" t="n">
        <v>0</v>
      </c>
      <c r="O7" s="110" t="n"/>
      <c r="P7" s="110" t="n"/>
    </row>
    <row r="8" ht="18" customFormat="1" customHeight="1" s="6">
      <c r="A8" s="147" t="n"/>
      <c r="B8" s="46" t="n"/>
      <c r="C8" s="91" t="n"/>
      <c r="D8" s="437" t="n"/>
      <c r="E8" s="160" t="n"/>
      <c r="F8" s="111" t="n"/>
      <c r="G8" s="111" t="n"/>
      <c r="H8" s="91" t="n"/>
      <c r="I8" s="389" t="n"/>
      <c r="J8" s="404" t="n"/>
      <c r="K8" s="392" t="n"/>
      <c r="L8" s="391" t="n"/>
      <c r="M8" s="392">
        <f>K8+L8</f>
        <v/>
      </c>
      <c r="N8" s="392" t="n">
        <v>0</v>
      </c>
      <c r="O8" s="110" t="n"/>
      <c r="P8" s="110" t="n"/>
    </row>
    <row r="9" ht="18" customFormat="1" customHeight="1" s="71">
      <c r="A9" s="89" t="n"/>
      <c r="B9" s="48" t="n"/>
      <c r="C9" s="3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  <c r="O9" s="154" t="n"/>
      <c r="P9" s="154" t="n"/>
    </row>
    <row r="10" ht="18" customFormat="1" customHeight="1" s="71">
      <c r="A10" s="99" t="n"/>
      <c r="B10" s="98" t="n"/>
      <c r="C10" s="99" t="n"/>
      <c r="D10" s="99" t="n"/>
      <c r="E10" s="102" t="n"/>
      <c r="F10" s="40" t="n"/>
      <c r="G10" s="40" t="n"/>
      <c r="H10" s="398" t="n"/>
      <c r="I10" s="393" t="n"/>
      <c r="J10" s="404" t="n"/>
      <c r="K10" s="392" t="n"/>
      <c r="L10" s="391" t="n"/>
      <c r="M10" s="392">
        <f>K10+L10</f>
        <v/>
      </c>
      <c r="N10" s="392" t="n">
        <v>0</v>
      </c>
      <c r="O10" s="154" t="n"/>
      <c r="P10" s="154" t="n"/>
    </row>
    <row r="11" ht="18" customFormat="1" customHeight="1" s="6">
      <c r="A11" s="99" t="n"/>
      <c r="B11" s="98" t="n"/>
      <c r="C11" s="99" t="n"/>
      <c r="D11" s="99" t="n"/>
      <c r="E11" s="102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 ht="18" customHeight="1" s="374">
      <c r="A12" s="158" t="n"/>
      <c r="B12" s="118" t="n"/>
      <c r="C12" s="91" t="n"/>
      <c r="D12" s="447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8" customHeight="1" s="374">
      <c r="A13" s="89" t="n"/>
      <c r="B13" s="90" t="n"/>
      <c r="C13" s="39" t="n"/>
      <c r="D13" s="399" t="n"/>
      <c r="E13" s="102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 ht="18" customHeight="1" s="374">
      <c r="A14" s="47" t="n"/>
      <c r="B14" s="48" t="n"/>
      <c r="C14" s="39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392">
        <f>K14+L14</f>
        <v/>
      </c>
      <c r="N14" s="392" t="n">
        <v>0</v>
      </c>
    </row>
    <row r="15">
      <c r="A15" s="45" t="n"/>
      <c r="B15" s="48" t="n"/>
      <c r="C15" s="39" t="n"/>
      <c r="D15" s="399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>
      <c r="A16" s="45" t="n"/>
      <c r="B16" s="46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>
      <c r="A17" s="47" t="n"/>
      <c r="B17" s="48" t="n"/>
      <c r="C17" s="39" t="n"/>
      <c r="D17" s="405" t="n"/>
      <c r="E17" s="39" t="n"/>
      <c r="F17" s="40" t="n"/>
      <c r="G17" s="40" t="n"/>
      <c r="H17" s="39" t="n"/>
      <c r="I17" s="393" t="n"/>
      <c r="J17" s="404" t="n"/>
      <c r="K17" s="392" t="n"/>
      <c r="L17" s="391" t="n"/>
      <c r="M17" s="400">
        <f>K17+L17</f>
        <v/>
      </c>
      <c r="N17" s="392" t="n">
        <v>0</v>
      </c>
    </row>
    <row r="18">
      <c r="A18" s="45" t="n"/>
      <c r="B18" s="46" t="n"/>
      <c r="C18" s="39" t="n"/>
      <c r="D18" s="399" t="n"/>
      <c r="E18" s="39" t="n"/>
      <c r="F18" s="40" t="n"/>
      <c r="G18" s="40" t="n"/>
      <c r="H18" s="39" t="n"/>
      <c r="I18" s="393" t="n"/>
      <c r="J18" s="404" t="n"/>
      <c r="K18" s="392" t="n"/>
      <c r="L18" s="392" t="n"/>
      <c r="M18" s="400">
        <f>K18+L18</f>
        <v/>
      </c>
      <c r="N18" s="392" t="n">
        <v>0</v>
      </c>
    </row>
    <row r="19">
      <c r="A19" s="1" t="n"/>
      <c r="B19" s="8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407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53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427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9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407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38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20" t="n"/>
      <c r="B35" s="21" t="n"/>
      <c r="C35" s="22" t="n"/>
      <c r="D35" s="21" t="n"/>
      <c r="E35" s="21" t="n"/>
      <c r="F35" s="21" t="n"/>
      <c r="G35" s="21" t="n"/>
      <c r="H35" s="21" t="n"/>
      <c r="J35" s="420" t="n"/>
      <c r="K35" s="421" t="n"/>
      <c r="L35" s="421" t="n"/>
      <c r="N35" s="392" t="n">
        <v>0</v>
      </c>
    </row>
    <row r="36">
      <c r="A36" s="20" t="n"/>
      <c r="B36" s="21" t="n"/>
      <c r="C36" s="22" t="n"/>
      <c r="D36" s="21" t="n"/>
      <c r="E36" s="21" t="n"/>
      <c r="F36" s="21" t="n"/>
      <c r="G36" s="21" t="n"/>
      <c r="H36" s="21" t="n"/>
      <c r="J36" s="420" t="n"/>
      <c r="K36" s="421" t="n"/>
      <c r="L36" s="421" t="n"/>
      <c r="M36" s="424" t="n"/>
      <c r="N36" s="392" t="n">
        <v>0</v>
      </c>
    </row>
    <row r="37">
      <c r="A37" s="20" t="n"/>
      <c r="B37" s="21" t="n"/>
      <c r="C37" s="22" t="n"/>
      <c r="D37" s="21" t="n"/>
      <c r="E37" s="21" t="n"/>
      <c r="F37" s="21" t="n"/>
      <c r="G37" s="21" t="n"/>
      <c r="H37" s="21" t="n"/>
      <c r="J37" s="420" t="n"/>
      <c r="K37" s="421" t="n"/>
      <c r="L37" s="421" t="n"/>
      <c r="N37" s="392" t="n">
        <v>0</v>
      </c>
    </row>
    <row r="38">
      <c r="C38" s="30" t="n"/>
    </row>
    <row r="39">
      <c r="C39" s="30" t="n"/>
    </row>
    <row r="40">
      <c r="C40" s="30" t="n"/>
      <c r="M40" s="423">
        <f>SUM(M2:M34)</f>
        <v/>
      </c>
      <c r="N40" s="423">
        <f>SUM(N2:N36)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048576">
      <c r="B1048576" s="268">
        <f>MIN(B2:B1048575)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filterMode="1">
    <outlinePr summaryBelow="1" summaryRight="1"/>
    <pageSetUpPr/>
  </sheetPr>
  <dimension ref="A1:O133"/>
  <sheetViews>
    <sheetView zoomScale="55" zoomScaleNormal="55" workbookViewId="0">
      <selection activeCell="J19" sqref="J19"/>
    </sheetView>
  </sheetViews>
  <sheetFormatPr baseColWidth="8" defaultColWidth="8.77734375" defaultRowHeight="16.2"/>
  <cols>
    <col width="10.77734375" customWidth="1" style="29" min="1" max="1"/>
    <col width="60.218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89" t="inlineStr">
        <is>
          <t>Ord No.</t>
        </is>
      </c>
      <c r="B1" s="150" t="inlineStr">
        <is>
          <t>Time</t>
        </is>
      </c>
      <c r="C1" s="150" t="inlineStr">
        <is>
          <t>Trip</t>
        </is>
      </c>
      <c r="D1" s="428" t="inlineStr">
        <is>
          <t>Driver</t>
        </is>
      </c>
      <c r="E1" s="428" t="inlineStr">
        <is>
          <t>Status</t>
        </is>
      </c>
      <c r="F1" s="428" t="inlineStr">
        <is>
          <t>Pick</t>
        </is>
      </c>
      <c r="G1" s="428" t="inlineStr">
        <is>
          <t>Drop</t>
        </is>
      </c>
      <c r="H1" s="428" t="inlineStr">
        <is>
          <t>Decp</t>
        </is>
      </c>
      <c r="I1" s="401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34">
      <c r="A2" s="147" t="n"/>
      <c r="B2" s="131" t="n"/>
      <c r="C2" s="91" t="n"/>
      <c r="D2" s="399" t="n"/>
      <c r="E2" s="91" t="n"/>
      <c r="F2" s="111" t="n"/>
      <c r="G2" s="111" t="n"/>
      <c r="H2" s="91" t="n"/>
      <c r="I2" s="389" t="n"/>
      <c r="J2" s="395" t="n"/>
      <c r="K2" s="396" t="n"/>
      <c r="L2" s="429" t="n"/>
      <c r="M2" s="400">
        <f>K2+L2</f>
        <v/>
      </c>
      <c r="N2" s="392" t="n">
        <v>0</v>
      </c>
      <c r="O2" s="192" t="n"/>
    </row>
    <row r="3" ht="17.25" customFormat="1" customHeight="1" s="110">
      <c r="A3" s="158" t="n"/>
      <c r="B3" s="118" t="n"/>
      <c r="C3" s="91" t="n"/>
      <c r="D3" s="399" t="n"/>
      <c r="E3" s="276" t="n"/>
      <c r="F3" s="111" t="n"/>
      <c r="G3" s="111" t="n"/>
      <c r="H3" s="398" t="n"/>
      <c r="I3" s="393" t="n"/>
      <c r="J3" s="406" t="n"/>
      <c r="K3" s="400" t="n"/>
      <c r="L3" s="435" t="n"/>
      <c r="M3" s="400">
        <f>K3+L3</f>
        <v/>
      </c>
      <c r="N3" s="392" t="n">
        <v>0</v>
      </c>
      <c r="O3" s="192" t="n"/>
    </row>
    <row r="4" ht="17.25" customFormat="1" customHeight="1" s="110">
      <c r="A4" s="158" t="n"/>
      <c r="B4" s="118" t="n"/>
      <c r="C4" s="177" t="n"/>
      <c r="D4" s="447" t="n"/>
      <c r="E4" s="91" t="n"/>
      <c r="F4" s="111" t="n"/>
      <c r="G4" s="111" t="n"/>
      <c r="H4" s="39" t="n"/>
      <c r="I4" s="389" t="n"/>
      <c r="J4" s="406" t="n"/>
      <c r="K4" s="392" t="n"/>
      <c r="L4" s="391" t="n"/>
      <c r="M4" s="400">
        <f>K4+L4</f>
        <v/>
      </c>
      <c r="N4" s="392" t="n">
        <v>0</v>
      </c>
    </row>
    <row r="5" ht="17.25" customFormat="1" customHeight="1" s="110">
      <c r="A5" s="158" t="n"/>
      <c r="B5" s="118" t="n"/>
      <c r="C5" s="177" t="n"/>
      <c r="D5" s="399" t="n"/>
      <c r="E5" s="91" t="n"/>
      <c r="F5" s="111" t="n"/>
      <c r="G5" s="111" t="n"/>
      <c r="H5" s="39" t="n"/>
      <c r="I5" s="389" t="n"/>
      <c r="J5" s="406" t="n"/>
      <c r="K5" s="392" t="n"/>
      <c r="L5" s="391" t="n"/>
      <c r="M5" s="400">
        <f>K5+L5</f>
        <v/>
      </c>
      <c r="N5" s="392" t="n">
        <v>0</v>
      </c>
    </row>
    <row r="6" ht="17.25" customHeight="1" s="374">
      <c r="A6" s="158" t="n"/>
      <c r="B6" s="48" t="n"/>
      <c r="C6" s="177" t="n"/>
      <c r="D6" s="39" t="n"/>
      <c r="E6" s="39" t="n"/>
      <c r="F6" s="111" t="n"/>
      <c r="G6" s="111" t="n"/>
      <c r="H6" s="39" t="n"/>
      <c r="I6" s="393" t="n"/>
      <c r="J6" s="395" t="n"/>
      <c r="K6" s="392" t="n"/>
      <c r="L6" s="392" t="n"/>
      <c r="M6" s="400">
        <f>K6+L6</f>
        <v/>
      </c>
      <c r="N6" s="392" t="n">
        <v>0</v>
      </c>
    </row>
    <row r="7" ht="17.25" customHeight="1" s="374">
      <c r="A7" s="89" t="n"/>
      <c r="B7" s="90" t="n"/>
      <c r="C7" s="39" t="n"/>
      <c r="D7" s="428" t="n"/>
      <c r="E7" s="39" t="n"/>
      <c r="F7" s="40" t="n"/>
      <c r="G7" s="40" t="n"/>
      <c r="H7" s="39" t="n"/>
      <c r="I7" s="393" t="n"/>
      <c r="J7" s="406" t="n"/>
      <c r="K7" s="400" t="n"/>
      <c r="L7" s="400" t="n"/>
      <c r="M7" s="400">
        <f>K7+L7</f>
        <v/>
      </c>
      <c r="N7" s="392" t="n">
        <v>0</v>
      </c>
    </row>
    <row r="8" ht="17.25" customHeight="1" s="374">
      <c r="A8" s="89" t="n"/>
      <c r="B8" s="48" t="n"/>
      <c r="C8" s="99" t="n"/>
      <c r="D8" s="447" t="n"/>
      <c r="E8" s="39" t="n"/>
      <c r="F8" s="40" t="n"/>
      <c r="G8" s="40" t="n"/>
      <c r="H8" s="39" t="n"/>
      <c r="I8" s="393" t="n"/>
      <c r="J8" s="406" t="n"/>
      <c r="K8" s="400" t="n"/>
      <c r="L8" s="400" t="n"/>
      <c r="M8" s="400">
        <f>K8+L8</f>
        <v/>
      </c>
      <c r="N8" s="392" t="n">
        <v>0</v>
      </c>
    </row>
    <row r="9" ht="17.25" customHeight="1" s="374">
      <c r="A9" s="45" t="n"/>
      <c r="B9" s="46" t="n"/>
      <c r="C9" s="39" t="n"/>
      <c r="D9" s="399" t="n"/>
      <c r="E9" s="39" t="n"/>
      <c r="F9" s="40" t="n"/>
      <c r="G9" s="40" t="n"/>
      <c r="H9" s="39" t="n"/>
      <c r="I9" s="393" t="n"/>
      <c r="J9" s="395" t="n"/>
      <c r="K9" s="396" t="n"/>
      <c r="L9" s="396" t="n"/>
      <c r="M9" s="400">
        <f>K9+L9</f>
        <v/>
      </c>
      <c r="N9" s="392" t="n">
        <v>0</v>
      </c>
    </row>
    <row r="10" ht="17.25" customHeight="1" s="374">
      <c r="A10" s="45" t="n"/>
      <c r="B10" s="46" t="n"/>
      <c r="C10" s="39" t="n"/>
      <c r="D10" s="399" t="n"/>
      <c r="E10" s="39" t="n"/>
      <c r="F10" s="40" t="n"/>
      <c r="G10" s="40" t="n"/>
      <c r="H10" s="39" t="n"/>
      <c r="I10" s="393" t="n"/>
      <c r="J10" s="395" t="n"/>
      <c r="K10" s="396" t="n"/>
      <c r="L10" s="396" t="n"/>
      <c r="M10" s="400">
        <f>K10+L10</f>
        <v/>
      </c>
      <c r="N10" s="392" t="n">
        <v>0</v>
      </c>
    </row>
    <row r="11" ht="17.25" customHeight="1" s="374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406" t="n"/>
      <c r="K11" s="400" t="n"/>
      <c r="L11" s="400" t="n"/>
      <c r="M11" s="400">
        <f>K11+L11</f>
        <v/>
      </c>
      <c r="N11" s="392" t="n">
        <v>0</v>
      </c>
    </row>
    <row r="12" ht="17.25" customHeight="1" s="374">
      <c r="A12" s="89" t="n"/>
      <c r="B12" s="156" t="n"/>
      <c r="C12" s="39" t="n"/>
      <c r="D12" s="447" t="n"/>
      <c r="E12" s="39" t="n"/>
      <c r="F12" s="40" t="n"/>
      <c r="G12" s="40" t="n"/>
      <c r="H12" s="39" t="n"/>
      <c r="I12" s="393" t="n"/>
      <c r="J12" s="406" t="n"/>
      <c r="K12" s="400" t="n"/>
      <c r="L12" s="400" t="n"/>
      <c r="M12" s="400">
        <f>K12+L12</f>
        <v/>
      </c>
      <c r="N12" s="392" t="n">
        <v>0</v>
      </c>
    </row>
    <row r="13" ht="17.25" customHeight="1" s="374">
      <c r="A13" s="157" t="n"/>
      <c r="B13" s="156" t="n"/>
      <c r="C13" s="151" t="n"/>
      <c r="D13" s="448" t="n"/>
      <c r="E13" s="39" t="n"/>
      <c r="F13" s="40" t="n"/>
      <c r="G13" s="40" t="n"/>
      <c r="H13" s="39" t="n"/>
      <c r="I13" s="393" t="n"/>
      <c r="J13" s="151" t="n"/>
      <c r="K13" s="400" t="n"/>
      <c r="L13" s="400" t="n"/>
      <c r="M13" s="400">
        <f>K13+L13</f>
        <v/>
      </c>
      <c r="N13" s="392" t="n">
        <v>0</v>
      </c>
    </row>
    <row r="14" ht="17.25" customHeight="1" s="374">
      <c r="A14" s="89" t="n"/>
      <c r="B14" s="90" t="n"/>
      <c r="C14" s="39" t="n"/>
      <c r="D14" s="428" t="n"/>
      <c r="E14" s="39" t="n"/>
      <c r="F14" s="40" t="n"/>
      <c r="G14" s="40" t="n"/>
      <c r="H14" s="39" t="n"/>
      <c r="I14" s="393" t="n"/>
      <c r="J14" s="406" t="n"/>
      <c r="K14" s="400" t="n"/>
      <c r="L14" s="400" t="n"/>
      <c r="M14" s="400">
        <f>K14+L14</f>
        <v/>
      </c>
      <c r="N14" s="392" t="n">
        <v>0</v>
      </c>
    </row>
    <row r="15" ht="17.25" customHeight="1" s="374">
      <c r="A15" s="51" t="n"/>
      <c r="B15" s="62" t="n"/>
      <c r="C15" s="53" t="n"/>
      <c r="D15" s="381" t="n"/>
      <c r="E15" s="53" t="n"/>
      <c r="F15" s="61" t="n"/>
      <c r="G15" s="61" t="n"/>
      <c r="H15" s="53" t="n"/>
      <c r="I15" s="403" t="n"/>
      <c r="J15" s="406" t="n"/>
      <c r="K15" s="400" t="n"/>
      <c r="L15" s="400" t="n"/>
      <c r="M15" s="400">
        <f>K15+L15</f>
        <v/>
      </c>
      <c r="N15" s="392" t="n">
        <v>0</v>
      </c>
    </row>
    <row r="16" ht="17.25" customHeight="1" s="374">
      <c r="A16" s="51" t="n"/>
      <c r="B16" s="62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 ht="17.25" customHeight="1" s="374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 ht="17.25" customHeight="1" s="374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407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53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 ht="17.25" customHeight="1" s="374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42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9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407" t="n"/>
      <c r="E27" s="10" t="n"/>
      <c r="F27" s="61" t="n"/>
      <c r="G27" s="61" t="n"/>
      <c r="H27" s="10" t="n"/>
      <c r="I27" s="412" t="n"/>
      <c r="J27" s="409" t="n"/>
      <c r="K27" s="410" t="n"/>
      <c r="L27" s="410" t="n"/>
      <c r="M27" s="400">
        <f>K27+L27</f>
        <v/>
      </c>
      <c r="N27" s="392" t="n">
        <v>0</v>
      </c>
    </row>
    <row r="28">
      <c r="A28" s="14" t="n"/>
      <c r="B28" s="15" t="n"/>
      <c r="C28" s="10" t="n"/>
      <c r="D28" s="381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14" t="n"/>
      <c r="B29" s="15" t="n"/>
      <c r="C29" s="10" t="n"/>
      <c r="D29" s="411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41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38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7" t="n"/>
      <c r="B32" s="18" t="n"/>
      <c r="C32" s="10" t="n"/>
      <c r="D32" s="402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7" t="n"/>
      <c r="B33" s="18" t="n"/>
      <c r="C33" s="10" t="n"/>
      <c r="D33" s="402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427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4" t="n"/>
      <c r="B36" s="15" t="n"/>
      <c r="C36" s="53" t="n"/>
      <c r="D36" s="427" t="n"/>
      <c r="E36" s="53" t="n"/>
      <c r="F36" s="62" t="n"/>
      <c r="G36" s="62" t="n"/>
      <c r="H36" s="53" t="n"/>
      <c r="I36" s="403" t="n"/>
      <c r="J36" s="406" t="n"/>
      <c r="K36" s="400" t="n"/>
      <c r="L36" s="400" t="n"/>
      <c r="M36" s="400">
        <f>K36+L36</f>
        <v/>
      </c>
      <c r="N36" s="392" t="n">
        <v>0</v>
      </c>
    </row>
    <row r="37">
      <c r="A37" s="51" t="n"/>
      <c r="B37" s="62" t="n"/>
      <c r="C37" s="53" t="n"/>
      <c r="D37" s="381" t="n"/>
      <c r="E37" s="53" t="n"/>
      <c r="F37" s="62" t="n"/>
      <c r="G37" s="62" t="n"/>
      <c r="H37" s="53" t="n"/>
      <c r="I37" s="403" t="n"/>
      <c r="J37" s="406" t="n"/>
      <c r="K37" s="400" t="n"/>
      <c r="L37" s="400" t="n"/>
      <c r="M37" s="400">
        <f>K37+L37</f>
        <v/>
      </c>
      <c r="N37" s="392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20" t="n"/>
      <c r="K38" s="421" t="n"/>
      <c r="L38" s="421" t="n"/>
      <c r="M38" s="421" t="n"/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SUM(M2:M38)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</sheetData>
  <autoFilter ref="A1:N37">
    <filterColumn colId="3">
      <filters blank="1">
        <filter val="LZ4100 Joe 63183898"/>
        <filter val="NY1494 Mr.To 56215122"/>
      </filters>
    </filterColumn>
    <sortState ref="A2:N37">
      <sortCondition ref="B1:B37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2"/>
  <sheetViews>
    <sheetView zoomScale="55" zoomScaleNormal="55" workbookViewId="0">
      <selection activeCell="J15" sqref="J15"/>
    </sheetView>
  </sheetViews>
  <sheetFormatPr baseColWidth="8" defaultColWidth="8.77734375" defaultRowHeight="16.2"/>
  <cols>
    <col width="10.21875" customWidth="1" style="29" min="1" max="1"/>
    <col width="59.886718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89" t="n"/>
      <c r="B2" s="48" t="n"/>
      <c r="C2" s="39" t="n"/>
      <c r="D2" s="399" t="n"/>
      <c r="E2" s="39" t="n"/>
      <c r="F2" s="40" t="n"/>
      <c r="G2" s="40" t="n"/>
      <c r="H2" s="39" t="n"/>
      <c r="I2" s="393" t="n"/>
      <c r="J2" s="404" t="n"/>
      <c r="K2" s="392" t="n"/>
      <c r="L2" s="391" t="n"/>
      <c r="M2" s="392">
        <f>K2+L2</f>
        <v/>
      </c>
      <c r="N2" s="392" t="n">
        <v>0</v>
      </c>
    </row>
    <row r="3" ht="17.25" customFormat="1" customHeight="1" s="110">
      <c r="A3" s="89" t="n"/>
      <c r="B3" s="48" t="n"/>
      <c r="C3" s="99" t="n"/>
      <c r="D3" s="99" t="n"/>
      <c r="E3" s="39" t="n"/>
      <c r="F3" s="40" t="n"/>
      <c r="G3" s="40" t="n"/>
      <c r="H3" s="39" t="n"/>
      <c r="I3" s="393" t="n"/>
      <c r="J3" s="393" t="n"/>
      <c r="K3" s="392" t="n"/>
      <c r="L3" s="391" t="n"/>
      <c r="M3" s="392">
        <f>K3+L3</f>
        <v/>
      </c>
      <c r="N3" s="392" t="n">
        <v>0</v>
      </c>
    </row>
    <row r="4" ht="17.25" customFormat="1" customHeight="1" s="110">
      <c r="A4" s="158" t="n"/>
      <c r="B4" s="229" t="n"/>
      <c r="C4" s="91" t="n"/>
      <c r="D4" s="447" t="n"/>
      <c r="E4" s="91" t="n"/>
      <c r="F4" s="111" t="n"/>
      <c r="G4" s="111" t="n"/>
      <c r="H4" s="91" t="n"/>
      <c r="I4" s="389" t="n"/>
      <c r="J4" s="393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158" t="n"/>
      <c r="B5" s="118" t="n"/>
      <c r="C5" s="91" t="n"/>
      <c r="D5" s="399" t="n"/>
      <c r="E5" s="91" t="n"/>
      <c r="F5" s="111" t="n"/>
      <c r="G5" s="111" t="n"/>
      <c r="H5" s="91" t="n"/>
      <c r="I5" s="389" t="n"/>
      <c r="J5" s="404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89" t="n"/>
      <c r="B6" s="48" t="n"/>
      <c r="C6" s="91" t="n"/>
      <c r="D6" s="399" t="n"/>
      <c r="E6" s="39" t="n"/>
      <c r="F6" s="111" t="n"/>
      <c r="G6" s="111" t="n"/>
      <c r="H6" s="398" t="n"/>
      <c r="I6" s="393" t="n"/>
      <c r="J6" s="388" t="n"/>
      <c r="K6" s="392" t="n"/>
      <c r="L6" s="391" t="n"/>
      <c r="M6" s="392">
        <f>K6+L6</f>
        <v/>
      </c>
      <c r="N6" s="392" t="n">
        <v>0</v>
      </c>
    </row>
    <row r="7" ht="17.25" customFormat="1" customHeight="1" s="110">
      <c r="A7" s="89" t="n"/>
      <c r="B7" s="48" t="n"/>
      <c r="C7" s="39" t="n"/>
      <c r="D7" s="399" t="n"/>
      <c r="E7" s="39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Format="1" customHeight="1" s="6">
      <c r="A8" s="89" t="n"/>
      <c r="B8" s="48" t="n"/>
      <c r="C8" s="39" t="n"/>
      <c r="D8" s="399" t="n"/>
      <c r="E8" s="151" t="n"/>
      <c r="F8" s="193" t="n"/>
      <c r="G8" s="193" t="n"/>
      <c r="H8" s="151" t="n"/>
      <c r="I8" s="449" t="n"/>
      <c r="J8" s="393" t="n"/>
      <c r="K8" s="392" t="n"/>
      <c r="L8" s="391" t="n"/>
      <c r="M8" s="392">
        <f>K8+L8</f>
        <v/>
      </c>
      <c r="N8" s="392" t="n">
        <v>0</v>
      </c>
    </row>
    <row r="9" ht="17.25" customHeight="1" s="374">
      <c r="A9" s="99" t="n"/>
      <c r="B9" s="98" t="n"/>
      <c r="C9" s="39" t="n"/>
      <c r="D9" s="99" t="n"/>
      <c r="E9" s="39" t="n"/>
      <c r="F9" s="40" t="n"/>
      <c r="G9" s="40" t="n"/>
      <c r="H9" s="39" t="n"/>
      <c r="I9" s="393" t="n"/>
      <c r="J9" s="395" t="n"/>
      <c r="K9" s="396" t="n"/>
      <c r="L9" s="396" t="n"/>
      <c r="M9" s="392">
        <f>K9+L9</f>
        <v/>
      </c>
      <c r="N9" s="392" t="n">
        <v>0</v>
      </c>
    </row>
    <row r="10" ht="17.25" customFormat="1" customHeight="1" s="6">
      <c r="A10" s="239" t="n"/>
      <c r="B10" s="46" t="n"/>
      <c r="C10" s="200" t="n"/>
      <c r="D10" s="39" t="n"/>
      <c r="E10" s="39" t="n"/>
      <c r="F10" s="40" t="n"/>
      <c r="G10" s="40" t="n"/>
      <c r="H10" s="39" t="n"/>
      <c r="I10" s="393" t="n"/>
      <c r="J10" s="393" t="n"/>
      <c r="K10" s="450" t="n"/>
      <c r="L10" s="391" t="n"/>
      <c r="M10" s="392">
        <f>K10+L10</f>
        <v/>
      </c>
      <c r="N10" s="392" t="n">
        <v>0</v>
      </c>
    </row>
    <row r="11" ht="17.25" customHeight="1" s="374">
      <c r="A11" s="351" t="n"/>
      <c r="B11" s="89" t="n"/>
      <c r="C11" s="352" t="n"/>
      <c r="D11" s="399" t="n"/>
      <c r="E11" s="447" t="n"/>
      <c r="F11" s="135" t="n"/>
      <c r="G11" s="135" t="n"/>
      <c r="H11" s="447" t="n"/>
      <c r="I11" s="451" t="n"/>
      <c r="J11" s="389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351" t="n"/>
      <c r="B12" s="89" t="n"/>
      <c r="C12" s="352" t="n"/>
      <c r="D12" s="399" t="n"/>
      <c r="E12" s="53" t="n"/>
      <c r="F12" s="54" t="n"/>
      <c r="G12" s="54" t="n"/>
      <c r="H12" s="53" t="n"/>
      <c r="I12" s="403" t="n"/>
      <c r="J12" s="404" t="n"/>
      <c r="K12" s="400" t="n"/>
      <c r="L12" s="435" t="n"/>
      <c r="M12" s="400">
        <f>K12+L12</f>
        <v/>
      </c>
      <c r="N12" s="392" t="n">
        <v>0</v>
      </c>
    </row>
    <row r="13" ht="17.25" customHeight="1" s="374">
      <c r="A13" s="59" t="n"/>
      <c r="B13" s="52" t="n"/>
      <c r="C13" s="53" t="n"/>
      <c r="D13" s="447" t="n"/>
      <c r="E13" s="53" t="n"/>
      <c r="F13" s="54" t="n"/>
      <c r="G13" s="54" t="n"/>
      <c r="H13" s="53" t="n"/>
      <c r="I13" s="393" t="n"/>
      <c r="J13" s="404" t="n"/>
      <c r="K13" s="392" t="n"/>
      <c r="L13" s="391" t="n"/>
      <c r="M13" s="400">
        <f>K13+L13</f>
        <v/>
      </c>
      <c r="N13" s="392" t="n">
        <v>0</v>
      </c>
    </row>
    <row r="14" ht="17.25" customHeight="1" s="374">
      <c r="A14" s="45" t="n"/>
      <c r="B14" s="46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 ht="17.25" customHeight="1" s="374">
      <c r="A15" s="47" t="n"/>
      <c r="B15" s="48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 ht="17.25" customHeight="1" s="374">
      <c r="A16" s="45" t="n"/>
      <c r="B16" s="46" t="n"/>
      <c r="C16" s="39" t="n"/>
      <c r="D16" s="399" t="n"/>
      <c r="E16" s="39" t="n"/>
      <c r="F16" s="40" t="n"/>
      <c r="G16" s="40" t="n"/>
      <c r="H16" s="39" t="n"/>
      <c r="I16" s="393" t="n"/>
      <c r="J16" s="404" t="n"/>
      <c r="K16" s="392" t="n"/>
      <c r="L16" s="392" t="n"/>
      <c r="M16" s="400">
        <f>K16+L16</f>
        <v/>
      </c>
      <c r="N16" s="392" t="n">
        <v>0</v>
      </c>
    </row>
    <row r="17" ht="17.25" customHeight="1" s="374">
      <c r="A17" s="1" t="n"/>
      <c r="B17" s="8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 ht="17.25" customHeight="1" s="374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 ht="17.25" customHeight="1" s="374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 ht="17.25" customHeight="1" s="374">
      <c r="A22" s="51" t="n"/>
      <c r="B22" s="62" t="n"/>
      <c r="C22" s="53" t="n"/>
      <c r="D22" s="40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 ht="17.25" customHeight="1" s="374">
      <c r="A23" s="51" t="n"/>
      <c r="B23" s="62" t="n"/>
      <c r="C23" s="53" t="n"/>
      <c r="D23" s="53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427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149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407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38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41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0" t="n">
        <v>0</v>
      </c>
    </row>
    <row r="37">
      <c r="A37" s="20" t="n"/>
      <c r="B37" s="21" t="n"/>
      <c r="C37" s="22" t="n"/>
      <c r="D37" s="21" t="n"/>
      <c r="E37" s="21" t="n"/>
      <c r="F37" s="21" t="n"/>
      <c r="G37" s="21" t="n"/>
      <c r="H37" s="21" t="n"/>
      <c r="I37" s="416" t="n"/>
      <c r="J37" s="420" t="n"/>
      <c r="K37" s="421" t="n"/>
      <c r="L37" s="421" t="n"/>
      <c r="M37" s="421" t="n"/>
      <c r="N37" s="452" t="n"/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J38" s="420" t="n"/>
      <c r="K38" s="421" t="n"/>
      <c r="L38" s="421" t="n"/>
      <c r="N38" s="42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  <c r="M39" s="424" t="n"/>
      <c r="N39" s="42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SUM(M2:M37)</f>
        <v/>
      </c>
      <c r="N40" s="423">
        <f>SUM(N2:N38)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32"/>
  <sheetViews>
    <sheetView zoomScale="69" zoomScaleNormal="69" workbookViewId="0">
      <selection activeCell="J26" sqref="J26"/>
    </sheetView>
  </sheetViews>
  <sheetFormatPr baseColWidth="8" defaultColWidth="8.77734375" defaultRowHeight="16.2"/>
  <cols>
    <col width="11.44140625" customWidth="1" style="29" min="1" max="1"/>
    <col width="10.88671875" customWidth="1" style="374" min="2" max="2"/>
    <col width="56" customWidth="1" style="374" min="3" max="3"/>
    <col width="27.1093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71">
      <c r="A2" s="89" t="n"/>
      <c r="B2" s="89" t="n"/>
      <c r="C2" s="39" t="n"/>
      <c r="D2" s="447" t="n"/>
      <c r="E2" s="102" t="n"/>
      <c r="F2" s="40" t="n"/>
      <c r="G2" s="40" t="n"/>
      <c r="H2" s="398" t="n"/>
      <c r="I2" s="393" t="n"/>
      <c r="J2" s="404" t="n"/>
      <c r="K2" s="392" t="n"/>
      <c r="L2" s="391" t="n"/>
      <c r="M2" s="392">
        <f>K2+L2</f>
        <v/>
      </c>
      <c r="N2" s="392" t="n">
        <v>0</v>
      </c>
      <c r="O2" s="154" t="n"/>
      <c r="P2" s="154" t="n"/>
    </row>
    <row r="3" ht="17.25" customHeight="1" s="374">
      <c r="A3" s="157" t="n"/>
      <c r="B3" s="156" t="n"/>
      <c r="C3" s="151" t="n"/>
      <c r="D3" s="448" t="n"/>
      <c r="E3" s="39" t="n"/>
      <c r="F3" s="40" t="n"/>
      <c r="G3" s="40" t="n"/>
      <c r="H3" s="39" t="n"/>
      <c r="I3" s="393" t="n"/>
      <c r="J3" s="453" t="n"/>
      <c r="K3" s="400" t="n"/>
      <c r="L3" s="400" t="n"/>
      <c r="M3" s="400">
        <f>K3+L3</f>
        <v/>
      </c>
      <c r="N3" s="392" t="n">
        <v>0</v>
      </c>
    </row>
    <row r="4" ht="17.25" customHeight="1" s="374">
      <c r="A4" s="157" t="n"/>
      <c r="B4" s="156" t="n"/>
      <c r="C4" s="151" t="n"/>
      <c r="D4" s="448" t="n"/>
      <c r="E4" s="39" t="n"/>
      <c r="F4" s="40" t="n"/>
      <c r="G4" s="40" t="n"/>
      <c r="H4" s="39" t="n"/>
      <c r="I4" s="393" t="n"/>
      <c r="J4" s="453" t="n"/>
      <c r="K4" s="400" t="n"/>
      <c r="L4" s="400" t="n"/>
      <c r="M4" s="400">
        <f>K4+L4</f>
        <v/>
      </c>
      <c r="N4" s="392" t="n">
        <v>0</v>
      </c>
    </row>
    <row r="5" ht="17.25" customFormat="1" customHeight="1" s="6">
      <c r="A5" s="89" t="n"/>
      <c r="B5" s="89" t="n"/>
      <c r="C5" s="39" t="n"/>
      <c r="D5" s="399" t="n"/>
      <c r="E5" s="102" t="n"/>
      <c r="F5" s="40" t="n"/>
      <c r="G5" s="40" t="n"/>
      <c r="H5" s="398" t="n"/>
      <c r="I5" s="393" t="n"/>
      <c r="J5" s="404" t="n"/>
      <c r="K5" s="392" t="n"/>
      <c r="L5" s="391" t="n"/>
      <c r="M5" s="392">
        <f>K5+L5</f>
        <v/>
      </c>
      <c r="N5" s="392" t="n">
        <v>0</v>
      </c>
    </row>
    <row r="6" ht="17.25" customFormat="1" customHeight="1" s="6">
      <c r="A6" s="89" t="n"/>
      <c r="B6" s="89" t="n"/>
      <c r="C6" s="39" t="n"/>
      <c r="D6" s="399" t="n"/>
      <c r="E6" s="102" t="n"/>
      <c r="F6" s="40" t="n"/>
      <c r="G6" s="40" t="n"/>
      <c r="H6" s="39" t="n"/>
      <c r="I6" s="393" t="n"/>
      <c r="J6" s="395" t="n"/>
      <c r="K6" s="396" t="n"/>
      <c r="L6" s="429" t="n"/>
      <c r="M6" s="392">
        <f>K6+L6</f>
        <v/>
      </c>
      <c r="N6" s="392" t="n">
        <v>0</v>
      </c>
    </row>
    <row r="7" ht="17.25" customFormat="1" customHeight="1" s="6">
      <c r="A7" s="89" t="n"/>
      <c r="B7" s="89" t="n"/>
      <c r="C7" s="39" t="n"/>
      <c r="D7" s="399" t="n"/>
      <c r="E7" s="102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Height="1" s="374">
      <c r="A8" s="89" t="n"/>
      <c r="B8" s="89" t="n"/>
      <c r="C8" s="89" t="n"/>
      <c r="D8" s="399" t="n"/>
      <c r="E8" s="39" t="n"/>
      <c r="F8" s="40" t="n"/>
      <c r="G8" s="40" t="n"/>
      <c r="H8" s="39" t="n"/>
      <c r="I8" s="393" t="n"/>
      <c r="J8" s="393" t="n"/>
      <c r="K8" s="392" t="n"/>
      <c r="L8" s="391" t="n"/>
      <c r="M8" s="392">
        <f>K8+L8</f>
        <v/>
      </c>
      <c r="N8" s="392" t="n">
        <v>0</v>
      </c>
    </row>
    <row r="9" ht="17.25" customFormat="1" customHeight="1" s="6">
      <c r="A9" s="89" t="n"/>
      <c r="B9" s="89" t="n"/>
      <c r="C9" s="89" t="n"/>
      <c r="D9" s="399" t="n"/>
      <c r="E9" s="102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89" t="n"/>
      <c r="B10" s="89" t="n"/>
      <c r="C10" s="89" t="n"/>
      <c r="D10" s="399" t="n"/>
      <c r="E10" s="102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89" t="n"/>
      <c r="C11" s="91" t="n"/>
      <c r="D11" s="399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>
      <c r="A12" s="89" t="n"/>
      <c r="B12" s="89" t="n"/>
      <c r="C12" s="91" t="n"/>
      <c r="D12" s="399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400">
        <f>K12+L12</f>
        <v/>
      </c>
      <c r="N12" s="392" t="n">
        <v>0</v>
      </c>
    </row>
    <row r="13">
      <c r="A13" s="45" t="n"/>
      <c r="B13" s="46" t="n"/>
      <c r="C13" s="39" t="n"/>
      <c r="D13" s="405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400">
        <f>K13+L13</f>
        <v/>
      </c>
      <c r="N13" s="392" t="n">
        <v>0</v>
      </c>
    </row>
    <row r="14">
      <c r="A14" s="47" t="n"/>
      <c r="B14" s="48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>
      <c r="A15" s="45" t="n"/>
      <c r="B15" s="46" t="n"/>
      <c r="C15" s="39" t="n"/>
      <c r="D15" s="399" t="n"/>
      <c r="E15" s="39" t="n"/>
      <c r="F15" s="40" t="n"/>
      <c r="G15" s="40" t="n"/>
      <c r="H15" s="39" t="n"/>
      <c r="I15" s="393" t="n"/>
      <c r="J15" s="404" t="n"/>
      <c r="K15" s="392" t="n"/>
      <c r="L15" s="392" t="n"/>
      <c r="M15" s="400">
        <f>K15+L15</f>
        <v/>
      </c>
      <c r="N15" s="392" t="n">
        <v>0</v>
      </c>
    </row>
    <row r="16">
      <c r="A16" s="1" t="n"/>
      <c r="B16" s="8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27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9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407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38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38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81" t="n"/>
      <c r="B37" s="82" t="n"/>
      <c r="C37" s="76" t="n"/>
      <c r="D37" s="454" t="n"/>
      <c r="E37" s="76" t="n"/>
      <c r="F37" s="77" t="n"/>
      <c r="G37" s="77" t="n"/>
      <c r="H37" s="76" t="n"/>
      <c r="I37" s="431" t="n"/>
      <c r="J37" s="432" t="n"/>
      <c r="K37" s="433" t="n"/>
      <c r="L37" s="433" t="n"/>
      <c r="M37" s="434" t="n"/>
      <c r="N37" s="392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J38" s="420" t="n"/>
      <c r="K38" s="421" t="n"/>
      <c r="L38" s="421" t="n"/>
      <c r="N38" s="392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  <c r="M39" s="424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SUM(M2:M36)</f>
        <v/>
      </c>
      <c r="N40" s="423">
        <f>SUM(N2:N37)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</sheetData>
  <autoFilter ref="A1:N36">
    <sortState ref="A2:N36">
      <sortCondition descending="1" ref="B1:B36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55" zoomScaleNormal="55" workbookViewId="0">
      <selection activeCell="J21" sqref="J21"/>
    </sheetView>
  </sheetViews>
  <sheetFormatPr baseColWidth="8" defaultColWidth="8.77734375" defaultRowHeight="16.2"/>
  <cols>
    <col width="10" customWidth="1" style="29" min="1" max="1"/>
    <col width="64.218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89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89" t="n"/>
      <c r="B2" s="48" t="n"/>
      <c r="C2" s="39" t="n"/>
      <c r="D2" s="399" t="n"/>
      <c r="E2" s="39" t="n"/>
      <c r="F2" s="40" t="n"/>
      <c r="G2" s="40" t="n"/>
      <c r="H2" s="39" t="n"/>
      <c r="I2" s="393" t="n"/>
      <c r="J2" s="404" t="n"/>
      <c r="K2" s="392" t="n"/>
      <c r="L2" s="391" t="n"/>
      <c r="M2" s="392">
        <f>K2+L2</f>
        <v/>
      </c>
      <c r="N2" s="392" t="n">
        <v>0</v>
      </c>
    </row>
    <row r="3" ht="17.25" customFormat="1" customHeight="1" s="110">
      <c r="A3" s="89" t="n"/>
      <c r="B3" s="48" t="n"/>
      <c r="C3" s="39" t="n"/>
      <c r="D3" s="399" t="n"/>
      <c r="E3" s="39" t="n"/>
      <c r="F3" s="40" t="n"/>
      <c r="G3" s="40" t="n"/>
      <c r="H3" s="39" t="n"/>
      <c r="I3" s="393" t="n"/>
      <c r="J3" s="404" t="n"/>
      <c r="K3" s="392" t="n"/>
      <c r="L3" s="391" t="n"/>
      <c r="M3" s="392">
        <f>K3+L3</f>
        <v/>
      </c>
      <c r="N3" s="392" t="n">
        <v>0</v>
      </c>
    </row>
    <row r="4" ht="17.25" customFormat="1" customHeight="1" s="6">
      <c r="A4" s="89" t="n"/>
      <c r="B4" s="46" t="n"/>
      <c r="C4" s="39" t="n"/>
      <c r="D4" s="399" t="n"/>
      <c r="E4" s="39" t="n"/>
      <c r="F4" s="40" t="n"/>
      <c r="G4" s="40" t="n"/>
      <c r="H4" s="39" t="n"/>
      <c r="I4" s="393" t="n"/>
      <c r="J4" s="404" t="n"/>
      <c r="K4" s="396" t="n"/>
      <c r="L4" s="429" t="n"/>
      <c r="M4" s="392">
        <f>K4+L4</f>
        <v/>
      </c>
      <c r="N4" s="392" t="n">
        <v>0</v>
      </c>
    </row>
    <row r="5" ht="17.25" customFormat="1" customHeight="1" s="6">
      <c r="A5" s="89" t="n"/>
      <c r="B5" s="48" t="n"/>
      <c r="C5" s="39" t="n"/>
      <c r="D5" s="99" t="n"/>
      <c r="E5" s="240" t="n"/>
      <c r="F5" s="40" t="n"/>
      <c r="G5" s="40" t="n"/>
      <c r="H5" s="39" t="n"/>
      <c r="I5" s="455" t="n"/>
      <c r="J5" s="404" t="n"/>
      <c r="K5" s="392" t="n"/>
      <c r="L5" s="391" t="n"/>
      <c r="M5" s="392">
        <f>K5+L5</f>
        <v/>
      </c>
      <c r="N5" s="392" t="n">
        <v>0</v>
      </c>
    </row>
    <row r="6" ht="17.25" customFormat="1" customHeight="1" s="6">
      <c r="A6" s="195" t="n"/>
      <c r="B6" s="354" t="n"/>
      <c r="C6" s="355" t="n"/>
      <c r="D6" s="456" t="n"/>
      <c r="E6" s="196" t="n"/>
      <c r="F6" s="193" t="n"/>
      <c r="G6" s="193" t="n"/>
      <c r="H6" s="151" t="n"/>
      <c r="I6" s="449" t="n"/>
      <c r="J6" s="404" t="n"/>
      <c r="K6" s="396" t="n"/>
      <c r="L6" s="391" t="n"/>
      <c r="M6" s="392">
        <f>K6+L6</f>
        <v/>
      </c>
      <c r="N6" s="392" t="n">
        <v>0</v>
      </c>
    </row>
    <row r="7" ht="17.25" customFormat="1" customHeight="1" s="6">
      <c r="A7" s="195" t="n"/>
      <c r="B7" s="354" t="n"/>
      <c r="C7" s="355" t="n"/>
      <c r="D7" s="99" t="n"/>
      <c r="E7" s="39" t="n"/>
      <c r="F7" s="40" t="n"/>
      <c r="G7" s="40" t="n"/>
      <c r="H7" s="39" t="n"/>
      <c r="I7" s="393" t="n"/>
      <c r="J7" s="404" t="n"/>
      <c r="K7" s="396" t="n"/>
      <c r="L7" s="391" t="n"/>
      <c r="M7" s="392">
        <f>K7+L7</f>
        <v/>
      </c>
      <c r="N7" s="392" t="n">
        <v>0</v>
      </c>
    </row>
    <row r="8" ht="17.25" customFormat="1" customHeight="1" s="6">
      <c r="A8" s="195" t="n"/>
      <c r="B8" s="354" t="n"/>
      <c r="C8" s="246" t="n"/>
      <c r="D8" s="448" t="n"/>
      <c r="E8" s="102" t="n"/>
      <c r="F8" s="40" t="n"/>
      <c r="G8" s="40" t="n"/>
      <c r="H8" s="39" t="n"/>
      <c r="I8" s="393" t="n"/>
      <c r="J8" s="404" t="n"/>
      <c r="K8" s="396" t="n"/>
      <c r="L8" s="391" t="n"/>
      <c r="M8" s="392">
        <f>K8+L8</f>
        <v/>
      </c>
      <c r="N8" s="392" t="n">
        <v>0</v>
      </c>
    </row>
    <row r="9" ht="17.25" customFormat="1" customHeight="1" s="6">
      <c r="A9" s="157" t="n"/>
      <c r="B9" s="176" t="n"/>
      <c r="C9" s="197" t="n"/>
      <c r="D9" s="448" t="n"/>
      <c r="E9" s="39" t="n"/>
      <c r="F9" s="40" t="n"/>
      <c r="G9" s="40" t="n"/>
      <c r="H9" s="39" t="n"/>
      <c r="I9" s="393" t="n"/>
      <c r="J9" s="395" t="n"/>
      <c r="K9" s="396" t="n"/>
      <c r="L9" s="429" t="n"/>
      <c r="M9" s="392">
        <f>K9+L9</f>
        <v/>
      </c>
      <c r="N9" s="392" t="n">
        <v>0</v>
      </c>
    </row>
    <row r="10" ht="17.25" customFormat="1" customHeight="1" s="6">
      <c r="A10" s="195" t="n"/>
      <c r="B10" s="354" t="n"/>
      <c r="C10" s="355" t="n"/>
      <c r="D10" s="448" t="n"/>
      <c r="E10" s="102" t="n"/>
      <c r="F10" s="40" t="n"/>
      <c r="G10" s="40" t="n"/>
      <c r="H10" s="398" t="n"/>
      <c r="I10" s="393" t="n"/>
      <c r="J10" s="356" t="n"/>
      <c r="K10" s="392" t="n"/>
      <c r="L10" s="391" t="n"/>
      <c r="M10" s="392">
        <f>K10+L10</f>
        <v/>
      </c>
      <c r="N10" s="392" t="n">
        <v>0</v>
      </c>
    </row>
    <row r="11" ht="17.25" customFormat="1" customHeight="1" s="6">
      <c r="A11" s="195" t="n"/>
      <c r="B11" s="354" t="n"/>
      <c r="C11" s="246" t="n"/>
      <c r="D11" s="448" t="n"/>
      <c r="E11" s="102" t="n"/>
      <c r="F11" s="40" t="n"/>
      <c r="G11" s="40" t="n"/>
      <c r="H11" s="39" t="n"/>
      <c r="I11" s="393" t="n"/>
      <c r="J11" s="395" t="n"/>
      <c r="K11" s="396" t="n"/>
      <c r="L11" s="429" t="n"/>
      <c r="M11" s="392">
        <f>K11+L11</f>
        <v/>
      </c>
      <c r="N11" s="392" t="n">
        <v>0</v>
      </c>
    </row>
    <row r="12" ht="17.25" customFormat="1" customHeight="1" s="6">
      <c r="A12" s="195" t="n"/>
      <c r="B12" s="354" t="n"/>
      <c r="C12" s="355" t="n"/>
      <c r="D12" s="456" t="n"/>
      <c r="E12" s="102" t="n"/>
      <c r="F12" s="40" t="n"/>
      <c r="G12" s="40" t="n"/>
      <c r="H12" s="39" t="n"/>
      <c r="I12" s="393" t="n"/>
      <c r="J12" s="395" t="n"/>
      <c r="K12" s="396" t="n"/>
      <c r="L12" s="391" t="n"/>
      <c r="M12" s="392">
        <f>K12+L12</f>
        <v/>
      </c>
      <c r="N12" s="392" t="n">
        <v>0</v>
      </c>
    </row>
    <row r="13" ht="17.25" customFormat="1" customHeight="1" s="6">
      <c r="A13" s="195" t="n"/>
      <c r="B13" s="354" t="n"/>
      <c r="C13" s="355" t="n"/>
      <c r="D13" s="456" t="n"/>
      <c r="E13" s="196" t="n"/>
      <c r="F13" s="193" t="n"/>
      <c r="G13" s="193" t="n"/>
      <c r="H13" s="151" t="n"/>
      <c r="I13" s="449" t="n"/>
      <c r="J13" s="395" t="n"/>
      <c r="K13" s="396" t="n"/>
      <c r="L13" s="391" t="n"/>
      <c r="M13" s="392">
        <f>K13+L13</f>
        <v/>
      </c>
      <c r="N13" s="392" t="n">
        <v>0</v>
      </c>
    </row>
    <row r="14" ht="17.25" customFormat="1" customHeight="1" s="6">
      <c r="A14" s="195" t="n"/>
      <c r="B14" s="245" t="n"/>
      <c r="C14" s="355" t="n"/>
      <c r="D14" s="456" t="n"/>
      <c r="E14" s="102" t="n"/>
      <c r="F14" s="40" t="n"/>
      <c r="G14" s="40" t="n"/>
      <c r="H14" s="398" t="n"/>
      <c r="I14" s="393" t="n"/>
      <c r="J14" s="404" t="n"/>
      <c r="K14" s="392" t="n"/>
      <c r="L14" s="391" t="n"/>
      <c r="M14" s="392">
        <f>K14+L14</f>
        <v/>
      </c>
      <c r="N14" s="392" t="n">
        <v>0</v>
      </c>
    </row>
    <row r="15" ht="17.25" customFormat="1" customHeight="1" s="6">
      <c r="A15" s="158" t="n"/>
      <c r="B15" s="118" t="n"/>
      <c r="C15" s="99" t="n"/>
      <c r="D15" s="399" t="n"/>
      <c r="E15" s="39" t="n"/>
      <c r="F15" s="40" t="n"/>
      <c r="G15" s="40" t="n"/>
      <c r="H15" s="39" t="n"/>
      <c r="I15" s="393" t="n"/>
      <c r="J15" s="395" t="n"/>
      <c r="K15" s="396" t="n"/>
      <c r="L15" s="429" t="n"/>
      <c r="M15" s="392">
        <f>K15+L15</f>
        <v/>
      </c>
      <c r="N15" s="392" t="n">
        <v>0</v>
      </c>
    </row>
    <row r="16" ht="17.25" customFormat="1" customHeight="1" s="6">
      <c r="A16" s="89" t="n"/>
      <c r="B16" s="46" t="n"/>
      <c r="C16" s="99" t="n"/>
      <c r="D16" s="399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392">
        <f>K16+L16</f>
        <v/>
      </c>
      <c r="N16" s="392" t="n">
        <v>0</v>
      </c>
    </row>
    <row r="17" ht="17.25" customFormat="1" customHeight="1" s="6">
      <c r="A17" s="89" t="n"/>
      <c r="B17" s="48" t="n"/>
      <c r="C17" s="39" t="n"/>
      <c r="D17" s="399" t="n"/>
      <c r="E17" s="39" t="n"/>
      <c r="F17" s="40" t="n"/>
      <c r="G17" s="40" t="n"/>
      <c r="H17" s="398" t="n"/>
      <c r="I17" s="393" t="n"/>
      <c r="J17" s="393" t="n"/>
      <c r="K17" s="392" t="n"/>
      <c r="L17" s="391" t="n"/>
      <c r="M17" s="392">
        <f>K17+L17</f>
        <v/>
      </c>
      <c r="N17" s="392" t="n">
        <v>0</v>
      </c>
    </row>
    <row r="18" ht="17.25" customHeight="1" s="374">
      <c r="A18" s="89" t="n"/>
      <c r="B18" s="46" t="n"/>
      <c r="C18" s="169" t="n"/>
      <c r="D18" s="91" t="n"/>
      <c r="E18" s="448" t="n"/>
      <c r="F18" s="170" t="n"/>
      <c r="G18" s="170" t="n"/>
      <c r="H18" s="448" t="n"/>
      <c r="I18" s="457" t="n"/>
      <c r="J18" s="404" t="n"/>
      <c r="K18" s="392" t="n"/>
      <c r="L18" s="392" t="n"/>
      <c r="M18" s="392">
        <f>K18+L18</f>
        <v/>
      </c>
      <c r="N18" s="392" t="n">
        <v>0</v>
      </c>
    </row>
    <row r="19" ht="17.25" customHeight="1" s="374">
      <c r="A19" s="89" t="n"/>
      <c r="B19" s="48" t="n"/>
      <c r="C19" s="99" t="n"/>
      <c r="D19" s="399" t="n"/>
      <c r="E19" s="39" t="n"/>
      <c r="F19" s="40" t="n"/>
      <c r="G19" s="40" t="n"/>
      <c r="H19" s="39" t="n"/>
      <c r="I19" s="393" t="n"/>
      <c r="J19" s="404" t="n"/>
      <c r="K19" s="392" t="n"/>
      <c r="L19" s="391" t="n"/>
      <c r="M19" s="392">
        <f>K19+L19</f>
        <v/>
      </c>
      <c r="N19" s="392" t="n">
        <v>0</v>
      </c>
    </row>
    <row r="20" ht="17.25" customHeight="1" s="374">
      <c r="A20" s="89" t="n"/>
      <c r="B20" s="46" t="n"/>
      <c r="C20" s="91" t="n"/>
      <c r="D20" s="399" t="n"/>
      <c r="E20" s="39" t="n"/>
      <c r="F20" s="40" t="n"/>
      <c r="G20" s="40" t="n"/>
      <c r="H20" s="39" t="n"/>
      <c r="I20" s="393" t="n"/>
      <c r="J20" s="404" t="n"/>
      <c r="K20" s="392" t="n"/>
      <c r="L20" s="391" t="n"/>
      <c r="M20" s="392">
        <f>K20+L20</f>
        <v/>
      </c>
      <c r="N20" s="392" t="n">
        <v>0</v>
      </c>
    </row>
    <row r="21" ht="17.25" customHeight="1" s="374">
      <c r="A21" s="89" t="n"/>
      <c r="B21" s="48" t="n"/>
      <c r="C21" s="99" t="n"/>
      <c r="D21" s="399" t="n"/>
      <c r="E21" s="39" t="n"/>
      <c r="F21" s="40" t="n"/>
      <c r="G21" s="40" t="n"/>
      <c r="H21" s="39" t="n"/>
      <c r="I21" s="393" t="n"/>
      <c r="J21" s="404" t="n"/>
      <c r="K21" s="392" t="n"/>
      <c r="L21" s="391" t="n"/>
      <c r="M21" s="392">
        <f>K21+L21</f>
        <v/>
      </c>
      <c r="N21" s="392" t="n">
        <v>0</v>
      </c>
    </row>
    <row r="22" ht="17.25" customHeight="1" s="374">
      <c r="A22" s="89" t="n"/>
      <c r="B22" s="48" t="n"/>
      <c r="C22" s="39" t="n"/>
      <c r="D22" s="399" t="n"/>
      <c r="E22" s="39" t="n"/>
      <c r="F22" s="40" t="n"/>
      <c r="G22" s="40" t="n"/>
      <c r="H22" s="39" t="n"/>
      <c r="I22" s="393" t="n"/>
      <c r="J22" s="404" t="n"/>
      <c r="K22" s="392" t="n"/>
      <c r="L22" s="391" t="n"/>
      <c r="M22" s="392">
        <f>K22+L22</f>
        <v/>
      </c>
      <c r="N22" s="392" t="n">
        <v>0</v>
      </c>
    </row>
    <row r="23" ht="17.25" customHeight="1" s="374">
      <c r="A23" s="89" t="n"/>
      <c r="B23" s="46" t="n"/>
      <c r="C23" s="39" t="n"/>
      <c r="D23" s="399" t="n"/>
      <c r="E23" s="39" t="n"/>
      <c r="F23" s="40" t="n"/>
      <c r="G23" s="40" t="n"/>
      <c r="H23" s="398" t="n"/>
      <c r="I23" s="393" t="n"/>
      <c r="J23" s="404" t="n"/>
      <c r="K23" s="392" t="n"/>
      <c r="L23" s="391" t="n"/>
      <c r="M23" s="392">
        <f>K23+L23</f>
        <v/>
      </c>
      <c r="N23" s="392" t="n">
        <v>0</v>
      </c>
    </row>
    <row r="24" ht="17.25" customHeight="1" s="374">
      <c r="A24" s="89" t="n"/>
      <c r="B24" s="48" t="n"/>
      <c r="C24" s="39" t="n"/>
      <c r="D24" s="447" t="n"/>
      <c r="E24" s="39" t="n"/>
      <c r="F24" s="40" t="n"/>
      <c r="G24" s="40" t="n"/>
      <c r="H24" s="398" t="n"/>
      <c r="I24" s="393" t="n"/>
      <c r="J24" s="393" t="n"/>
      <c r="K24" s="392" t="n"/>
      <c r="L24" s="391" t="n"/>
      <c r="M24" s="392">
        <f>K24+L24</f>
        <v/>
      </c>
      <c r="N24" s="392" t="n">
        <v>0</v>
      </c>
    </row>
    <row r="25">
      <c r="A25" s="89" t="n"/>
      <c r="B25" s="48" t="n"/>
      <c r="C25" s="39" t="n"/>
      <c r="D25" s="399" t="n"/>
      <c r="E25" s="39" t="n"/>
      <c r="F25" s="40" t="n"/>
      <c r="G25" s="40" t="n"/>
      <c r="H25" s="39" t="n"/>
      <c r="I25" s="393" t="n"/>
      <c r="J25" s="404" t="n"/>
      <c r="K25" s="392" t="n"/>
      <c r="L25" s="391" t="n"/>
      <c r="M25" s="392">
        <f>K25+L25</f>
        <v/>
      </c>
      <c r="N25" s="392" t="n">
        <v>0</v>
      </c>
    </row>
    <row r="26">
      <c r="A26" s="89" t="n"/>
      <c r="B26" s="46" t="n"/>
      <c r="C26" s="99" t="n"/>
      <c r="D26" s="399" t="n"/>
      <c r="E26" s="39" t="n"/>
      <c r="F26" s="40" t="n"/>
      <c r="G26" s="40" t="n"/>
      <c r="H26" s="39" t="n"/>
      <c r="I26" s="393" t="n"/>
      <c r="J26" s="404" t="n"/>
      <c r="K26" s="392" t="n"/>
      <c r="L26" s="391" t="n"/>
      <c r="M26" s="392">
        <f>K26+L26</f>
        <v/>
      </c>
      <c r="N26" s="392" t="n">
        <v>0</v>
      </c>
    </row>
    <row r="27">
      <c r="A27" s="51" t="n"/>
      <c r="B27" s="62" t="n"/>
      <c r="C27" s="53" t="n"/>
      <c r="D27" s="427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9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407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38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41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4" t="n"/>
      <c r="B36" s="15" t="n"/>
      <c r="C36" s="10" t="n"/>
      <c r="D36" s="381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7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17" t="n"/>
      <c r="B39" s="18" t="n"/>
      <c r="C39" s="10" t="n"/>
      <c r="D39" s="402" t="n"/>
      <c r="E39" s="10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2" t="n">
        <v>0</v>
      </c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55" zoomScaleNormal="55" workbookViewId="0">
      <selection activeCell="N2" sqref="N2:N14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32.33203125" customWidth="1" style="374" min="4" max="4"/>
    <col width="12" customWidth="1" style="374" min="5" max="5"/>
    <col width="9" bestFit="1" customWidth="1" style="374" min="6" max="7"/>
    <col width="11.44140625" bestFit="1" customWidth="1" style="374" min="8" max="8"/>
    <col width="9.44140625" customWidth="1" style="374" min="9" max="9"/>
    <col width="38.4414062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8" customFormat="1" customHeight="1" s="110">
      <c r="A2" s="167" t="n"/>
      <c r="B2" s="168" t="n"/>
      <c r="C2" s="169" t="n"/>
      <c r="D2" s="99" t="n"/>
      <c r="E2" s="448" t="n"/>
      <c r="F2" s="170" t="n"/>
      <c r="G2" s="170" t="n"/>
      <c r="H2" s="448" t="n"/>
      <c r="I2" s="457" t="n"/>
      <c r="J2" s="395" t="n"/>
      <c r="K2" s="396" t="n"/>
      <c r="L2" s="429" t="n"/>
      <c r="M2" s="392">
        <f>K2+L2</f>
        <v/>
      </c>
      <c r="N2" s="392" t="n">
        <v>0</v>
      </c>
    </row>
    <row r="3" ht="18" customFormat="1" customHeight="1" s="110">
      <c r="A3" s="167" t="n"/>
      <c r="B3" s="168" t="n"/>
      <c r="C3" s="169" t="n"/>
      <c r="D3" s="165" t="n"/>
      <c r="E3" s="458" t="n"/>
      <c r="F3" s="296" t="n"/>
      <c r="G3" s="296" t="n"/>
      <c r="H3" s="458" t="n"/>
      <c r="I3" s="459" t="n"/>
      <c r="J3" s="460" t="n"/>
      <c r="K3" s="396" t="n"/>
      <c r="L3" s="429" t="n"/>
      <c r="M3" s="392">
        <f>K3+L3</f>
        <v/>
      </c>
      <c r="N3" s="392" t="n">
        <v>0</v>
      </c>
    </row>
    <row r="4" ht="16.5" customFormat="1" customHeight="1" s="110">
      <c r="A4" s="267" t="n"/>
      <c r="B4" s="141" t="n"/>
      <c r="C4" s="142" t="n"/>
      <c r="D4" s="251" t="n"/>
      <c r="E4" s="305" t="n"/>
      <c r="F4" s="309" t="n"/>
      <c r="G4" s="309" t="n"/>
      <c r="H4" s="305" t="n"/>
      <c r="I4" s="461" t="n"/>
      <c r="J4" s="462" t="n"/>
      <c r="K4" s="463" t="n"/>
      <c r="L4" s="391" t="n"/>
      <c r="M4" s="392">
        <f>K4+L4</f>
        <v/>
      </c>
      <c r="N4" s="392" t="n">
        <v>0</v>
      </c>
    </row>
    <row r="5" ht="18" customFormat="1" customHeight="1" s="110">
      <c r="A5" s="99" t="n"/>
      <c r="B5" s="98" t="n"/>
      <c r="C5" s="91" t="n"/>
      <c r="D5" s="99" t="n"/>
      <c r="E5" s="160" t="n"/>
      <c r="F5" s="111" t="n"/>
      <c r="G5" s="111" t="n"/>
      <c r="H5" s="91" t="n"/>
      <c r="I5" s="389" t="n"/>
      <c r="J5" s="393" t="n"/>
      <c r="K5" s="392" t="n"/>
      <c r="L5" s="391" t="n"/>
      <c r="M5" s="392">
        <f>K5+L5</f>
        <v/>
      </c>
      <c r="N5" s="392" t="n">
        <v>0</v>
      </c>
    </row>
    <row r="6" ht="18" customFormat="1" customHeight="1" s="110">
      <c r="A6" s="175" t="n"/>
      <c r="B6" s="176" t="n"/>
      <c r="C6" s="151" t="n"/>
      <c r="D6" s="91" t="n"/>
      <c r="E6" s="39" t="n"/>
      <c r="F6" s="40" t="n"/>
      <c r="G6" s="40" t="n"/>
      <c r="H6" s="398" t="n"/>
      <c r="I6" s="393" t="n"/>
      <c r="J6" s="404" t="n"/>
      <c r="K6" s="392" t="n"/>
      <c r="L6" s="391" t="n"/>
      <c r="M6" s="392">
        <f>K6+L6</f>
        <v/>
      </c>
      <c r="N6" s="392" t="n">
        <v>0</v>
      </c>
    </row>
    <row r="7" ht="18" customFormat="1" customHeight="1" s="110">
      <c r="A7" s="45" t="n"/>
      <c r="B7" s="46" t="n"/>
      <c r="C7" s="39" t="n"/>
      <c r="D7" s="99" t="n"/>
      <c r="E7" s="102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8" customFormat="1" customHeight="1" s="110">
      <c r="A8" s="45" t="n"/>
      <c r="B8" s="46" t="n"/>
      <c r="C8" s="39" t="n"/>
      <c r="D8" s="99" t="n"/>
      <c r="E8" s="39" t="n"/>
      <c r="F8" s="40" t="n"/>
      <c r="G8" s="40" t="n"/>
      <c r="H8" s="398" t="n"/>
      <c r="I8" s="393" t="n"/>
      <c r="J8" s="404" t="n"/>
      <c r="K8" s="392" t="n"/>
      <c r="L8" s="391" t="n"/>
      <c r="M8" s="392">
        <f>K8+L8</f>
        <v/>
      </c>
      <c r="N8" s="392" t="n">
        <v>0</v>
      </c>
    </row>
    <row r="9" ht="18" customFormat="1" customHeight="1" s="110">
      <c r="A9" s="45" t="n"/>
      <c r="B9" s="46" t="n"/>
      <c r="C9" s="3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8" customHeight="1" s="374">
      <c r="A10" s="45" t="n"/>
      <c r="B10" s="48" t="n"/>
      <c r="C10" s="39" t="n"/>
      <c r="D10" s="399" t="n"/>
      <c r="E10" s="39" t="n"/>
      <c r="F10" s="40" t="n"/>
      <c r="G10" s="40" t="n"/>
      <c r="H10" s="398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8" customHeight="1" s="374">
      <c r="A11" s="45" t="n"/>
      <c r="B11" s="48" t="n"/>
      <c r="C11" s="39" t="n"/>
      <c r="D11" s="48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 ht="18" customHeight="1" s="374">
      <c r="A12" s="45" t="n"/>
      <c r="B12" s="48" t="n"/>
      <c r="C12" s="39" t="n"/>
      <c r="D12" s="99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8" customHeight="1" s="374">
      <c r="A13" s="45" t="n"/>
      <c r="B13" s="48" t="n"/>
      <c r="C13" s="39" t="n"/>
      <c r="D13" s="48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 ht="14.25" customHeight="1" s="374">
      <c r="A14" s="47" t="n"/>
      <c r="B14" s="48" t="n"/>
      <c r="C14" s="39" t="n"/>
      <c r="D14" s="72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 ht="18" customFormat="1" customHeight="1" s="110">
      <c r="A15" s="267" t="n"/>
      <c r="B15" s="141" t="n"/>
      <c r="C15" s="142" t="n"/>
      <c r="D15" s="99" t="n"/>
      <c r="E15" s="143" t="n"/>
      <c r="F15" s="144" t="n"/>
      <c r="G15" s="144" t="n"/>
      <c r="H15" s="143" t="n"/>
      <c r="I15" s="464" t="n"/>
      <c r="J15" s="455" t="n"/>
      <c r="K15" s="465" t="n"/>
      <c r="L15" s="466" t="n"/>
      <c r="M15" s="397">
        <f>K15+L15</f>
        <v/>
      </c>
      <c r="N15" s="392" t="n">
        <v>0</v>
      </c>
    </row>
    <row r="16">
      <c r="A16" s="1" t="n"/>
      <c r="B16" s="8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427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9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407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38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41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41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38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27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53" t="n"/>
      <c r="D38" s="427" t="n"/>
      <c r="E38" s="53" t="n"/>
      <c r="F38" s="62" t="n"/>
      <c r="G38" s="62" t="n"/>
      <c r="H38" s="53" t="n"/>
      <c r="I38" s="403" t="n"/>
      <c r="J38" s="406" t="n"/>
      <c r="K38" s="400" t="n"/>
      <c r="L38" s="400" t="n"/>
      <c r="M38" s="400">
        <f>K38+L38</f>
        <v/>
      </c>
      <c r="N38" s="467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42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55" zoomScaleNormal="55" workbookViewId="0">
      <selection activeCell="N2" sqref="N2:N18"/>
    </sheetView>
  </sheetViews>
  <sheetFormatPr baseColWidth="8" defaultColWidth="8.77734375" defaultRowHeight="16.2"/>
  <cols>
    <col width="9" customWidth="1" style="226" min="1" max="1"/>
    <col width="12" customWidth="1" style="110" min="2" max="2"/>
    <col width="56" customWidth="1" style="110" min="3" max="3"/>
    <col width="26.88671875" customWidth="1" style="110" min="4" max="4"/>
    <col width="9" bestFit="1" customWidth="1" style="110" min="5" max="7"/>
    <col width="11.44140625" bestFit="1" customWidth="1" style="110" min="8" max="8"/>
    <col width="9.44140625" customWidth="1" style="110" min="9" max="9"/>
    <col width="31.88671875" customWidth="1" style="468" min="10" max="10"/>
    <col width="9" bestFit="1" customWidth="1" style="469" min="11" max="12"/>
    <col width="15.21875" customWidth="1" style="469" min="13" max="13"/>
    <col width="8.77734375" customWidth="1" style="110" min="14" max="15"/>
    <col width="8.77734375" customWidth="1" style="110" min="16" max="16384"/>
  </cols>
  <sheetData>
    <row r="1">
      <c r="A1" s="89" t="inlineStr">
        <is>
          <t>Ord No.</t>
        </is>
      </c>
      <c r="B1" s="150" t="inlineStr">
        <is>
          <t>Time</t>
        </is>
      </c>
      <c r="C1" s="150" t="inlineStr">
        <is>
          <t>Trip</t>
        </is>
      </c>
      <c r="D1" s="428" t="inlineStr">
        <is>
          <t>Driver</t>
        </is>
      </c>
      <c r="E1" s="428" t="inlineStr">
        <is>
          <t>Status</t>
        </is>
      </c>
      <c r="F1" s="428" t="inlineStr">
        <is>
          <t>Pick</t>
        </is>
      </c>
      <c r="G1" s="428" t="inlineStr">
        <is>
          <t>Drop</t>
        </is>
      </c>
      <c r="H1" s="428" t="inlineStr">
        <is>
          <t>Decp</t>
        </is>
      </c>
      <c r="I1" s="401" t="inlineStr">
        <is>
          <t>Ptime</t>
        </is>
      </c>
      <c r="J1" s="470" t="inlineStr">
        <is>
          <t>Driver.Details</t>
        </is>
      </c>
      <c r="K1" s="471" t="inlineStr">
        <is>
          <t>Dvr.OT</t>
        </is>
      </c>
      <c r="L1" s="472" t="inlineStr">
        <is>
          <t>Dvr.C</t>
        </is>
      </c>
      <c r="M1" s="471" t="inlineStr">
        <is>
          <t>Driver.C+OT</t>
        </is>
      </c>
      <c r="N1" s="385" t="inlineStr">
        <is>
          <t>Bouns</t>
        </is>
      </c>
    </row>
    <row r="2" ht="17.25" customHeight="1" s="374">
      <c r="A2" s="203" t="n"/>
      <c r="B2" s="205" t="n"/>
      <c r="C2" s="151" t="n"/>
      <c r="D2" s="447" t="n"/>
      <c r="E2" s="151" t="n"/>
      <c r="F2" s="193" t="n"/>
      <c r="G2" s="193" t="n"/>
      <c r="H2" s="473" t="n"/>
      <c r="I2" s="449" t="n"/>
      <c r="J2" s="388" t="n"/>
      <c r="K2" s="392" t="n"/>
      <c r="L2" s="392" t="n"/>
      <c r="M2" s="392">
        <f>K2+L2</f>
        <v/>
      </c>
      <c r="N2" s="392" t="n">
        <v>0</v>
      </c>
    </row>
    <row r="3" ht="17.25" customHeight="1" s="374">
      <c r="A3" s="203" t="n"/>
      <c r="B3" s="205" t="n"/>
      <c r="C3" s="151" t="n"/>
      <c r="D3" s="447" t="n"/>
      <c r="E3" s="151" t="n"/>
      <c r="F3" s="193" t="n"/>
      <c r="G3" s="193" t="n"/>
      <c r="H3" s="473" t="n"/>
      <c r="I3" s="449" t="n"/>
      <c r="J3" s="388" t="n"/>
      <c r="K3" s="392" t="n"/>
      <c r="L3" s="392" t="n"/>
      <c r="M3" s="392">
        <f>K3+L3</f>
        <v/>
      </c>
      <c r="N3" s="392" t="n">
        <v>0</v>
      </c>
    </row>
    <row r="4" ht="17.25" customHeight="1" s="374">
      <c r="A4" s="147" t="n"/>
      <c r="B4" s="118" t="n"/>
      <c r="C4" s="91" t="n"/>
      <c r="D4" s="474" t="n"/>
      <c r="E4" s="251" t="n"/>
      <c r="F4" s="40" t="n"/>
      <c r="G4" s="40" t="n"/>
      <c r="H4" s="475" t="n"/>
      <c r="I4" s="389" t="n"/>
      <c r="J4" s="404" t="n"/>
      <c r="K4" s="392" t="n"/>
      <c r="L4" s="391" t="n"/>
      <c r="M4" s="392">
        <f>K4+L4</f>
        <v/>
      </c>
      <c r="N4" s="392" t="n">
        <v>0</v>
      </c>
    </row>
    <row r="5" ht="17.25" customHeight="1" s="374">
      <c r="A5" s="147" t="n"/>
      <c r="B5" s="118" t="n"/>
      <c r="C5" s="91" t="n"/>
      <c r="D5" s="474" t="n"/>
      <c r="E5" s="251" t="n"/>
      <c r="F5" s="40" t="n"/>
      <c r="G5" s="40" t="n"/>
      <c r="H5" s="475" t="n"/>
      <c r="I5" s="389" t="n"/>
      <c r="J5" s="404" t="n"/>
      <c r="K5" s="392" t="n"/>
      <c r="L5" s="391" t="n"/>
      <c r="M5" s="392">
        <f>K5+L5</f>
        <v/>
      </c>
      <c r="N5" s="392" t="n">
        <v>0</v>
      </c>
    </row>
    <row r="6" ht="17.25" customHeight="1" s="374">
      <c r="A6" s="147" t="n"/>
      <c r="B6" s="118" t="n"/>
      <c r="C6" s="91" t="n"/>
      <c r="D6" s="399" t="n"/>
      <c r="E6" s="447" t="n"/>
      <c r="F6" s="135" t="n"/>
      <c r="G6" s="135" t="n"/>
      <c r="H6" s="39" t="n"/>
      <c r="I6" s="451" t="n"/>
      <c r="J6" s="404" t="n"/>
      <c r="K6" s="392" t="n"/>
      <c r="L6" s="391" t="n"/>
      <c r="M6" s="392">
        <f>K6+L6</f>
        <v/>
      </c>
      <c r="N6" s="392" t="n">
        <v>0</v>
      </c>
    </row>
    <row r="7" ht="17.25" customHeight="1" s="374">
      <c r="A7" s="147" t="n"/>
      <c r="B7" s="118" t="n"/>
      <c r="C7" s="91" t="n"/>
      <c r="D7" s="447" t="n"/>
      <c r="E7" s="447" t="n"/>
      <c r="F7" s="135" t="n"/>
      <c r="G7" s="135" t="n"/>
      <c r="H7" s="39" t="n"/>
      <c r="I7" s="451" t="n"/>
      <c r="J7" s="404" t="n"/>
      <c r="K7" s="392" t="n"/>
      <c r="L7" s="391" t="n"/>
      <c r="M7" s="392">
        <f>K7+L7</f>
        <v/>
      </c>
      <c r="N7" s="392" t="n">
        <v>0</v>
      </c>
    </row>
    <row r="8" ht="17.25" customHeight="1" s="374">
      <c r="A8" s="45" t="n"/>
      <c r="B8" s="48" t="n"/>
      <c r="C8" s="39" t="n"/>
      <c r="D8" s="399" t="n"/>
      <c r="E8" s="91" t="n"/>
      <c r="F8" s="111" t="n"/>
      <c r="G8" s="111" t="n"/>
      <c r="H8" s="39" t="n"/>
      <c r="I8" s="393" t="n"/>
      <c r="J8" s="389" t="n"/>
      <c r="K8" s="392" t="n"/>
      <c r="L8" s="391" t="n"/>
      <c r="M8" s="392">
        <f>K8+L8</f>
        <v/>
      </c>
      <c r="N8" s="392" t="n">
        <v>0</v>
      </c>
    </row>
    <row r="9" ht="17.25" customHeight="1" s="374">
      <c r="A9" s="45" t="n"/>
      <c r="B9" s="48" t="n"/>
      <c r="C9" s="39" t="n"/>
      <c r="D9" s="474" t="n"/>
      <c r="E9" s="39" t="n"/>
      <c r="F9" s="40" t="n"/>
      <c r="G9" s="40" t="n"/>
      <c r="H9" s="39" t="n"/>
      <c r="I9" s="393" t="n"/>
      <c r="J9" s="404" t="n"/>
      <c r="K9" s="392" t="n"/>
      <c r="L9" s="466" t="n"/>
      <c r="M9" s="392">
        <f>K9+L9</f>
        <v/>
      </c>
      <c r="N9" s="392" t="n">
        <v>0</v>
      </c>
    </row>
    <row r="10" ht="17.25" customHeight="1" s="374">
      <c r="A10" s="89" t="n"/>
      <c r="B10" s="48" t="n"/>
      <c r="C10" s="39" t="n"/>
      <c r="D10" s="399" t="n"/>
      <c r="E10" s="39" t="n"/>
      <c r="F10" s="40" t="n"/>
      <c r="G10" s="40" t="n"/>
      <c r="H10" s="39" t="n"/>
      <c r="I10" s="393" t="n"/>
      <c r="J10" s="393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393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45" t="n"/>
      <c r="B12" s="46" t="n"/>
      <c r="C12" s="39" t="n"/>
      <c r="D12" s="447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45" t="n"/>
      <c r="B13" s="46" t="n"/>
      <c r="C13" s="39" t="n"/>
      <c r="D13" s="39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>
      <c r="A14" s="47" t="n"/>
      <c r="B14" s="48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392">
        <f>K14+L14</f>
        <v/>
      </c>
      <c r="N14" s="392" t="n">
        <v>0</v>
      </c>
    </row>
    <row r="15">
      <c r="A15" s="45" t="n"/>
      <c r="B15" s="46" t="n"/>
      <c r="C15" s="39" t="n"/>
      <c r="D15" s="428" t="n"/>
      <c r="E15" s="39" t="n"/>
      <c r="F15" s="40" t="n"/>
      <c r="G15" s="40" t="n"/>
      <c r="H15" s="39" t="n"/>
      <c r="I15" s="393" t="n"/>
      <c r="J15" s="404" t="n"/>
      <c r="K15" s="392" t="n"/>
      <c r="L15" s="392" t="n"/>
      <c r="M15" s="392">
        <f>K15+L15</f>
        <v/>
      </c>
      <c r="N15" s="392" t="n">
        <v>0</v>
      </c>
    </row>
    <row r="16">
      <c r="A16" s="45" t="n"/>
      <c r="B16" s="46" t="n"/>
      <c r="C16" s="39" t="n"/>
      <c r="D16" s="428" t="n"/>
      <c r="E16" s="39" t="n"/>
      <c r="F16" s="40" t="n"/>
      <c r="G16" s="40" t="n"/>
      <c r="H16" s="39" t="n"/>
      <c r="I16" s="393" t="n"/>
      <c r="J16" s="404" t="n"/>
      <c r="K16" s="392" t="n"/>
      <c r="L16" s="392" t="n"/>
      <c r="M16" s="392">
        <f>K16+L16</f>
        <v/>
      </c>
      <c r="N16" s="392" t="n">
        <v>0</v>
      </c>
    </row>
    <row r="17">
      <c r="A17" s="89" t="n"/>
      <c r="B17" s="90" t="n"/>
      <c r="C17" s="39" t="n"/>
      <c r="D17" s="90" t="n"/>
      <c r="E17" s="39" t="n"/>
      <c r="F17" s="40" t="n"/>
      <c r="G17" s="40" t="n"/>
      <c r="H17" s="39" t="n"/>
      <c r="I17" s="393" t="n"/>
      <c r="J17" s="404" t="n"/>
      <c r="K17" s="392" t="n"/>
      <c r="L17" s="392" t="n"/>
      <c r="M17" s="392">
        <f>K17+L17</f>
        <v/>
      </c>
      <c r="N17" s="392" t="n">
        <v>0</v>
      </c>
    </row>
    <row r="18">
      <c r="A18" s="45" t="n"/>
      <c r="B18" s="46" t="n"/>
      <c r="C18" s="39" t="n"/>
      <c r="D18" s="476" t="n"/>
      <c r="E18" s="39" t="n"/>
      <c r="F18" s="40" t="n"/>
      <c r="G18" s="40" t="n"/>
      <c r="H18" s="39" t="n"/>
      <c r="I18" s="393" t="n"/>
      <c r="J18" s="404" t="n"/>
      <c r="K18" s="392" t="n"/>
      <c r="L18" s="392" t="n"/>
      <c r="M18" s="392">
        <f>K18+L18</f>
        <v/>
      </c>
      <c r="N18" s="392" t="n">
        <v>0</v>
      </c>
    </row>
    <row r="19">
      <c r="A19" s="45" t="n"/>
      <c r="B19" s="46" t="n"/>
      <c r="C19" s="39" t="n"/>
      <c r="D19" s="39" t="n"/>
      <c r="E19" s="39" t="n"/>
      <c r="F19" s="40" t="n"/>
      <c r="G19" s="40" t="n"/>
      <c r="H19" s="39" t="n"/>
      <c r="I19" s="393" t="n"/>
      <c r="J19" s="404" t="n"/>
      <c r="K19" s="392" t="n"/>
      <c r="L19" s="392" t="n"/>
      <c r="M19" s="392">
        <f>K19+L19</f>
        <v/>
      </c>
      <c r="N19" s="392" t="n">
        <v>0</v>
      </c>
    </row>
    <row r="20">
      <c r="A20" s="45" t="n"/>
      <c r="B20" s="46" t="n"/>
      <c r="C20" s="39" t="n"/>
      <c r="D20" s="476" t="n"/>
      <c r="E20" s="39" t="n"/>
      <c r="F20" s="40" t="n"/>
      <c r="G20" s="40" t="n"/>
      <c r="H20" s="39" t="n"/>
      <c r="I20" s="393" t="n"/>
      <c r="J20" s="404" t="n"/>
      <c r="K20" s="392" t="n"/>
      <c r="L20" s="392" t="n"/>
      <c r="M20" s="392">
        <f>K20+L20</f>
        <v/>
      </c>
      <c r="N20" s="392" t="n">
        <v>0</v>
      </c>
    </row>
    <row r="21">
      <c r="A21" s="45" t="n"/>
      <c r="B21" s="46" t="n"/>
      <c r="C21" s="39" t="n"/>
      <c r="D21" s="476" t="n"/>
      <c r="E21" s="39" t="n"/>
      <c r="F21" s="40" t="n"/>
      <c r="G21" s="40" t="n"/>
      <c r="H21" s="39" t="n"/>
      <c r="I21" s="393" t="n"/>
      <c r="J21" s="404" t="n"/>
      <c r="K21" s="392" t="n"/>
      <c r="L21" s="392" t="n"/>
      <c r="M21" s="392">
        <f>K21+L21</f>
        <v/>
      </c>
      <c r="N21" s="392" t="n">
        <v>0</v>
      </c>
    </row>
    <row r="22">
      <c r="A22" s="45" t="n"/>
      <c r="B22" s="46" t="n"/>
      <c r="C22" s="39" t="n"/>
      <c r="D22" s="39" t="n"/>
      <c r="E22" s="39" t="n"/>
      <c r="F22" s="40" t="n"/>
      <c r="G22" s="40" t="n"/>
      <c r="H22" s="39" t="n"/>
      <c r="I22" s="393" t="n"/>
      <c r="J22" s="404" t="n"/>
      <c r="K22" s="392" t="n"/>
      <c r="L22" s="392" t="n"/>
      <c r="M22" s="392">
        <f>K22+L22</f>
        <v/>
      </c>
      <c r="N22" s="392" t="n">
        <v>0</v>
      </c>
    </row>
    <row r="23">
      <c r="A23" s="45" t="n"/>
      <c r="B23" s="46" t="n"/>
      <c r="C23" s="39" t="n"/>
      <c r="D23" s="428" t="n"/>
      <c r="E23" s="39" t="n"/>
      <c r="F23" s="40" t="n"/>
      <c r="G23" s="40" t="n"/>
      <c r="H23" s="39" t="n"/>
      <c r="I23" s="393" t="n"/>
      <c r="J23" s="404" t="n"/>
      <c r="K23" s="392" t="n"/>
      <c r="L23" s="392" t="n"/>
      <c r="M23" s="392">
        <f>K23+L23</f>
        <v/>
      </c>
      <c r="N23" s="392" t="n">
        <v>0</v>
      </c>
    </row>
    <row r="24">
      <c r="A24" s="45" t="n"/>
      <c r="B24" s="46" t="n"/>
      <c r="C24" s="39" t="n"/>
      <c r="D24" s="440" t="n"/>
      <c r="E24" s="39" t="n"/>
      <c r="F24" s="40" t="n"/>
      <c r="G24" s="40" t="n"/>
      <c r="H24" s="39" t="n"/>
      <c r="I24" s="393" t="n"/>
      <c r="J24" s="404" t="n"/>
      <c r="K24" s="392" t="n"/>
      <c r="L24" s="392" t="n"/>
      <c r="M24" s="392">
        <f>K24+L24</f>
        <v/>
      </c>
      <c r="N24" s="392" t="n">
        <v>0</v>
      </c>
    </row>
    <row r="25">
      <c r="A25" s="45" t="n"/>
      <c r="B25" s="46" t="n"/>
      <c r="C25" s="39" t="n"/>
      <c r="D25" s="428" t="n"/>
      <c r="E25" s="39" t="n"/>
      <c r="F25" s="40" t="n"/>
      <c r="G25" s="40" t="n"/>
      <c r="H25" s="39" t="n"/>
      <c r="I25" s="393" t="n"/>
      <c r="J25" s="404" t="n"/>
      <c r="K25" s="392" t="n"/>
      <c r="L25" s="392" t="n"/>
      <c r="M25" s="392">
        <f>K25+L25</f>
        <v/>
      </c>
      <c r="N25" s="392" t="n">
        <v>0</v>
      </c>
    </row>
    <row r="26">
      <c r="A26" s="45" t="n"/>
      <c r="B26" s="46" t="n"/>
      <c r="C26" s="39" t="n"/>
      <c r="D26" s="214" t="n"/>
      <c r="E26" s="39" t="n"/>
      <c r="F26" s="40" t="n"/>
      <c r="G26" s="40" t="n"/>
      <c r="H26" s="39" t="n"/>
      <c r="I26" s="393" t="n"/>
      <c r="J26" s="404" t="n"/>
      <c r="K26" s="392" t="n"/>
      <c r="L26" s="392" t="n"/>
      <c r="M26" s="392">
        <f>K26+L26</f>
        <v/>
      </c>
      <c r="N26" s="392" t="n">
        <v>0</v>
      </c>
    </row>
    <row r="27">
      <c r="A27" s="45" t="n"/>
      <c r="B27" s="46" t="n"/>
      <c r="C27" s="39" t="n"/>
      <c r="D27" s="428" t="n"/>
      <c r="E27" s="39" t="n"/>
      <c r="F27" s="40" t="n"/>
      <c r="G27" s="40" t="n"/>
      <c r="H27" s="39" t="n"/>
      <c r="I27" s="393" t="n"/>
      <c r="J27" s="404" t="n"/>
      <c r="K27" s="392" t="n"/>
      <c r="L27" s="392" t="n"/>
      <c r="M27" s="392">
        <f>K27+L27</f>
        <v/>
      </c>
      <c r="N27" s="392" t="n">
        <v>0</v>
      </c>
    </row>
    <row r="28">
      <c r="A28" s="45" t="n"/>
      <c r="B28" s="46" t="n"/>
      <c r="C28" s="39" t="n"/>
      <c r="D28" s="428" t="n"/>
      <c r="E28" s="39" t="n"/>
      <c r="F28" s="40" t="n"/>
      <c r="G28" s="40" t="n"/>
      <c r="H28" s="39" t="n"/>
      <c r="I28" s="393" t="n"/>
      <c r="J28" s="404" t="n"/>
      <c r="K28" s="392" t="n"/>
      <c r="L28" s="392" t="n"/>
      <c r="M28" s="392">
        <f>K28+L28</f>
        <v/>
      </c>
      <c r="N28" s="392" t="n">
        <v>0</v>
      </c>
    </row>
    <row r="29">
      <c r="A29" s="45" t="n"/>
      <c r="B29" s="46" t="n"/>
      <c r="C29" s="39" t="n"/>
      <c r="D29" s="476" t="n"/>
      <c r="E29" s="127" t="n"/>
      <c r="F29" s="40" t="n"/>
      <c r="G29" s="40" t="n"/>
      <c r="H29" s="127" t="n"/>
      <c r="I29" s="455" t="n"/>
      <c r="J29" s="477" t="n"/>
      <c r="K29" s="397" t="n"/>
      <c r="L29" s="397" t="n"/>
      <c r="M29" s="392">
        <f>K29+L29</f>
        <v/>
      </c>
      <c r="N29" s="392" t="n">
        <v>0</v>
      </c>
    </row>
    <row r="30">
      <c r="A30" s="215" t="n"/>
      <c r="B30" s="128" t="n"/>
      <c r="C30" s="127" t="n"/>
      <c r="D30" s="428" t="n"/>
      <c r="E30" s="127" t="n"/>
      <c r="F30" s="40" t="n"/>
      <c r="G30" s="40" t="n"/>
      <c r="H30" s="127" t="n"/>
      <c r="I30" s="455" t="n"/>
      <c r="J30" s="477" t="n"/>
      <c r="K30" s="397" t="n"/>
      <c r="L30" s="397" t="n"/>
      <c r="M30" s="392">
        <f>K30+L30</f>
        <v/>
      </c>
      <c r="N30" s="392" t="n">
        <v>0</v>
      </c>
    </row>
    <row r="31">
      <c r="A31" s="215" t="n"/>
      <c r="B31" s="128" t="n"/>
      <c r="C31" s="127" t="n"/>
      <c r="D31" s="478" t="n"/>
      <c r="E31" s="127" t="n"/>
      <c r="F31" s="40" t="n"/>
      <c r="G31" s="40" t="n"/>
      <c r="H31" s="127" t="n"/>
      <c r="I31" s="455" t="n"/>
      <c r="J31" s="477" t="n"/>
      <c r="K31" s="397" t="n"/>
      <c r="L31" s="397" t="n"/>
      <c r="M31" s="392">
        <f>K31+L31</f>
        <v/>
      </c>
      <c r="N31" s="392" t="n">
        <v>0</v>
      </c>
    </row>
    <row r="32">
      <c r="A32" s="215" t="n"/>
      <c r="B32" s="128" t="n"/>
      <c r="C32" s="127" t="n"/>
      <c r="D32" s="478" t="n"/>
      <c r="E32" s="127" t="n"/>
      <c r="F32" s="40" t="n"/>
      <c r="G32" s="40" t="n"/>
      <c r="H32" s="127" t="n"/>
      <c r="I32" s="455" t="n"/>
      <c r="J32" s="477" t="n"/>
      <c r="K32" s="397" t="n"/>
      <c r="L32" s="397" t="n"/>
      <c r="M32" s="392">
        <f>K32+L32</f>
        <v/>
      </c>
      <c r="N32" s="392" t="n">
        <v>0</v>
      </c>
    </row>
    <row r="33">
      <c r="A33" s="215" t="n"/>
      <c r="B33" s="128" t="n"/>
      <c r="C33" s="127" t="n"/>
      <c r="D33" s="428" t="n"/>
      <c r="E33" s="127" t="n"/>
      <c r="F33" s="40" t="n"/>
      <c r="G33" s="40" t="n"/>
      <c r="H33" s="127" t="n"/>
      <c r="I33" s="455" t="n"/>
      <c r="J33" s="477" t="n"/>
      <c r="K33" s="397" t="n"/>
      <c r="L33" s="397" t="n"/>
      <c r="M33" s="392">
        <f>K33+L33</f>
        <v/>
      </c>
      <c r="N33" s="392" t="n">
        <v>0</v>
      </c>
    </row>
    <row r="34">
      <c r="A34" s="204" t="n"/>
      <c r="B34" s="206" t="n"/>
      <c r="C34" s="127" t="n"/>
      <c r="D34" s="399" t="n"/>
      <c r="E34" s="127" t="n"/>
      <c r="F34" s="40" t="n"/>
      <c r="G34" s="40" t="n"/>
      <c r="H34" s="127" t="n"/>
      <c r="I34" s="455" t="n"/>
      <c r="J34" s="477" t="n"/>
      <c r="K34" s="397" t="n"/>
      <c r="L34" s="397" t="n"/>
      <c r="M34" s="392">
        <f>K34+L34</f>
        <v/>
      </c>
      <c r="N34" s="392" t="n">
        <v>0</v>
      </c>
    </row>
    <row r="35">
      <c r="A35" s="204" t="n"/>
      <c r="B35" s="206" t="n"/>
      <c r="C35" s="127" t="n"/>
      <c r="D35" s="399" t="n"/>
      <c r="E35" s="127" t="n"/>
      <c r="F35" s="40" t="n"/>
      <c r="G35" s="40" t="n"/>
      <c r="H35" s="127" t="n"/>
      <c r="I35" s="455" t="n"/>
      <c r="J35" s="477" t="n"/>
      <c r="K35" s="397" t="n"/>
      <c r="L35" s="397" t="n"/>
      <c r="M35" s="392">
        <f>K35+L35</f>
        <v/>
      </c>
      <c r="N35" s="392" t="n">
        <v>0</v>
      </c>
    </row>
    <row r="36">
      <c r="A36" s="204" t="n"/>
      <c r="B36" s="206" t="n"/>
      <c r="C36" s="127" t="n"/>
      <c r="D36" s="399" t="n"/>
      <c r="E36" s="127" t="n"/>
      <c r="F36" s="40" t="n"/>
      <c r="G36" s="40" t="n"/>
      <c r="H36" s="127" t="n"/>
      <c r="I36" s="455" t="n"/>
      <c r="J36" s="477" t="n"/>
      <c r="K36" s="397" t="n"/>
      <c r="L36" s="397" t="n"/>
      <c r="M36" s="392">
        <f>K36+L36</f>
        <v/>
      </c>
      <c r="N36" s="392" t="n">
        <v>0</v>
      </c>
    </row>
    <row r="37">
      <c r="A37" s="215" t="n"/>
      <c r="B37" s="128" t="n"/>
      <c r="C37" s="127" t="n"/>
      <c r="D37" s="440" t="n"/>
      <c r="E37" s="127" t="n"/>
      <c r="F37" s="40" t="n"/>
      <c r="G37" s="40" t="n"/>
      <c r="H37" s="127" t="n"/>
      <c r="I37" s="455" t="n"/>
      <c r="J37" s="477" t="n"/>
      <c r="K37" s="397" t="n"/>
      <c r="L37" s="397" t="n"/>
      <c r="M37" s="392">
        <f>K37+L37</f>
        <v/>
      </c>
      <c r="N37" s="392" t="n">
        <v>0</v>
      </c>
    </row>
    <row r="38">
      <c r="A38" s="215" t="n"/>
      <c r="B38" s="128" t="n"/>
      <c r="C38" s="39" t="n"/>
      <c r="D38" s="440" t="n"/>
      <c r="E38" s="39" t="n"/>
      <c r="F38" s="46" t="n"/>
      <c r="G38" s="46" t="n"/>
      <c r="H38" s="39" t="n"/>
      <c r="I38" s="393" t="n"/>
      <c r="J38" s="404" t="n"/>
      <c r="K38" s="392" t="n"/>
      <c r="L38" s="392" t="n"/>
      <c r="M38" s="392">
        <f>K38+L38</f>
        <v/>
      </c>
      <c r="N38" s="467" t="n">
        <v>0</v>
      </c>
    </row>
    <row r="39">
      <c r="A39" s="217" t="n"/>
      <c r="B39" s="218" t="n"/>
      <c r="C39" s="219" t="n"/>
      <c r="D39" s="218" t="n"/>
      <c r="E39" s="218" t="n"/>
      <c r="F39" s="218" t="n"/>
      <c r="G39" s="218" t="n"/>
      <c r="H39" s="218" t="n"/>
      <c r="I39" s="479" t="n"/>
      <c r="J39" s="480" t="n"/>
      <c r="K39" s="481" t="n"/>
      <c r="L39" s="481" t="n"/>
      <c r="M39" s="481" t="n"/>
      <c r="N39" s="422" t="n"/>
    </row>
    <row r="40">
      <c r="A40" s="217" t="n"/>
      <c r="B40" s="218" t="n"/>
      <c r="C40" s="219" t="n"/>
      <c r="D40" s="218" t="n"/>
      <c r="E40" s="218" t="n"/>
      <c r="F40" s="218" t="n"/>
      <c r="G40" s="218" t="n"/>
      <c r="H40" s="218" t="n"/>
      <c r="J40" s="480" t="n"/>
      <c r="K40" s="481" t="n"/>
      <c r="L40" s="481" t="n"/>
      <c r="M40" s="482">
        <f>SUM(M2:M39)</f>
        <v/>
      </c>
      <c r="N40" s="423">
        <f>SUM(N2:N39)</f>
        <v/>
      </c>
    </row>
    <row r="41">
      <c r="A41" s="217" t="n"/>
      <c r="B41" s="218" t="n"/>
      <c r="C41" s="219" t="n"/>
      <c r="D41" s="218" t="n"/>
      <c r="E41" s="218" t="n"/>
      <c r="F41" s="218" t="n"/>
      <c r="G41" s="218" t="n"/>
      <c r="H41" s="218" t="n"/>
      <c r="J41" s="480" t="n"/>
      <c r="K41" s="481" t="n"/>
      <c r="L41" s="481" t="n"/>
      <c r="M41" s="483" t="n"/>
    </row>
    <row r="42">
      <c r="A42" s="217" t="n"/>
      <c r="B42" s="218" t="n"/>
      <c r="C42" s="219" t="n"/>
      <c r="D42" s="218" t="n"/>
      <c r="E42" s="218" t="n"/>
      <c r="F42" s="218" t="n"/>
      <c r="G42" s="218" t="n"/>
      <c r="H42" s="218" t="n"/>
      <c r="J42" s="480" t="n"/>
      <c r="K42" s="481" t="n"/>
      <c r="L42" s="481" t="n"/>
    </row>
    <row r="43">
      <c r="C43" s="227" t="n"/>
    </row>
    <row r="44">
      <c r="C44" s="227" t="n"/>
    </row>
    <row r="45">
      <c r="C45" s="227" t="n"/>
    </row>
    <row r="46">
      <c r="C46" s="227" t="n"/>
    </row>
    <row r="47">
      <c r="C47" s="227" t="n"/>
    </row>
    <row r="48">
      <c r="C48" s="227" t="n"/>
    </row>
    <row r="49">
      <c r="C49" s="227" t="n"/>
    </row>
    <row r="50">
      <c r="C50" s="227" t="n"/>
    </row>
    <row r="51">
      <c r="C51" s="227" t="n"/>
    </row>
    <row r="52">
      <c r="C52" s="227" t="n"/>
    </row>
    <row r="53">
      <c r="C53" s="227" t="n"/>
    </row>
    <row r="54">
      <c r="C54" s="227" t="n"/>
    </row>
    <row r="55">
      <c r="C55" s="227" t="n"/>
    </row>
    <row r="56">
      <c r="C56" s="227" t="n"/>
    </row>
    <row r="57">
      <c r="C57" s="227" t="n"/>
    </row>
    <row r="58">
      <c r="C58" s="227" t="n"/>
    </row>
    <row r="59">
      <c r="C59" s="227" t="n"/>
    </row>
    <row r="60">
      <c r="C60" s="227" t="n"/>
    </row>
    <row r="61">
      <c r="C61" s="227" t="n"/>
    </row>
    <row r="62">
      <c r="C62" s="227" t="n"/>
    </row>
    <row r="63">
      <c r="C63" s="227" t="n"/>
    </row>
    <row r="64">
      <c r="C64" s="227" t="n"/>
    </row>
    <row r="65">
      <c r="C65" s="227" t="n"/>
    </row>
    <row r="66">
      <c r="C66" s="227" t="n"/>
    </row>
    <row r="67">
      <c r="C67" s="227" t="n"/>
    </row>
    <row r="68">
      <c r="C68" s="227" t="n"/>
    </row>
    <row r="69">
      <c r="C69" s="227" t="n"/>
    </row>
    <row r="70">
      <c r="C70" s="227" t="n"/>
    </row>
    <row r="71">
      <c r="C71" s="227" t="n"/>
    </row>
    <row r="72">
      <c r="C72" s="227" t="n"/>
    </row>
    <row r="73">
      <c r="C73" s="227" t="n"/>
    </row>
    <row r="74">
      <c r="C74" s="227" t="n"/>
    </row>
    <row r="75">
      <c r="C75" s="227" t="n"/>
    </row>
    <row r="76">
      <c r="C76" s="227" t="n"/>
    </row>
    <row r="77">
      <c r="C77" s="227" t="n"/>
    </row>
    <row r="78">
      <c r="C78" s="227" t="n"/>
    </row>
    <row r="79">
      <c r="C79" s="227" t="n"/>
    </row>
    <row r="80">
      <c r="C80" s="227" t="n"/>
    </row>
    <row r="81">
      <c r="C81" s="227" t="n"/>
    </row>
    <row r="82">
      <c r="C82" s="227" t="n"/>
    </row>
    <row r="83">
      <c r="C83" s="227" t="n"/>
    </row>
    <row r="84">
      <c r="C84" s="227" t="n"/>
    </row>
    <row r="85">
      <c r="C85" s="227" t="n"/>
    </row>
    <row r="86">
      <c r="C86" s="227" t="n"/>
    </row>
    <row r="87">
      <c r="C87" s="227" t="n"/>
    </row>
    <row r="88">
      <c r="C88" s="227" t="n"/>
    </row>
    <row r="89">
      <c r="C89" s="227" t="n"/>
    </row>
    <row r="90">
      <c r="C90" s="227" t="n"/>
    </row>
    <row r="91">
      <c r="C91" s="227" t="n"/>
    </row>
    <row r="92">
      <c r="C92" s="227" t="n"/>
    </row>
    <row r="93">
      <c r="C93" s="227" t="n"/>
    </row>
    <row r="94">
      <c r="C94" s="227" t="n"/>
    </row>
    <row r="95">
      <c r="C95" s="227" t="n"/>
    </row>
    <row r="96">
      <c r="C96" s="227" t="n"/>
    </row>
    <row r="97">
      <c r="C97" s="227" t="n"/>
    </row>
    <row r="98">
      <c r="C98" s="227" t="n"/>
    </row>
    <row r="99">
      <c r="C99" s="227" t="n"/>
    </row>
    <row r="100">
      <c r="C100" s="227" t="n"/>
    </row>
    <row r="101">
      <c r="C101" s="227" t="n"/>
    </row>
    <row r="102">
      <c r="C102" s="227" t="n"/>
    </row>
    <row r="103">
      <c r="C103" s="227" t="n"/>
    </row>
    <row r="104">
      <c r="C104" s="227" t="n"/>
    </row>
    <row r="105">
      <c r="C105" s="227" t="n"/>
    </row>
    <row r="106">
      <c r="C106" s="227" t="n"/>
    </row>
    <row r="107">
      <c r="C107" s="227" t="n"/>
    </row>
    <row r="108">
      <c r="C108" s="227" t="n"/>
    </row>
    <row r="109">
      <c r="C109" s="227" t="n"/>
    </row>
    <row r="110">
      <c r="C110" s="227" t="n"/>
    </row>
    <row r="111">
      <c r="C111" s="227" t="n"/>
    </row>
    <row r="112">
      <c r="C112" s="227" t="n"/>
    </row>
    <row r="113">
      <c r="C113" s="227" t="n"/>
    </row>
    <row r="114">
      <c r="C114" s="227" t="n"/>
    </row>
    <row r="115">
      <c r="C115" s="227" t="n"/>
    </row>
    <row r="116">
      <c r="C116" s="227" t="n"/>
    </row>
    <row r="117">
      <c r="C117" s="227" t="n"/>
    </row>
    <row r="118">
      <c r="C118" s="227" t="n"/>
    </row>
    <row r="119">
      <c r="C119" s="227" t="n"/>
    </row>
    <row r="120">
      <c r="C120" s="227" t="n"/>
    </row>
    <row r="121">
      <c r="C121" s="227" t="n"/>
    </row>
    <row r="122">
      <c r="C122" s="227" t="n"/>
    </row>
    <row r="123">
      <c r="C123" s="227" t="n"/>
    </row>
    <row r="124">
      <c r="C124" s="227" t="n"/>
    </row>
    <row r="125">
      <c r="C125" s="227" t="n"/>
    </row>
    <row r="126">
      <c r="C126" s="227" t="n"/>
    </row>
    <row r="127">
      <c r="C127" s="227" t="n"/>
    </row>
    <row r="128">
      <c r="C128" s="227" t="n"/>
    </row>
    <row r="129">
      <c r="C129" s="227" t="n"/>
    </row>
    <row r="130">
      <c r="C130" s="227" t="n"/>
    </row>
    <row r="131">
      <c r="C131" s="227" t="n"/>
    </row>
    <row r="132">
      <c r="C132" s="227" t="n"/>
    </row>
    <row r="133">
      <c r="C133" s="227" t="n"/>
    </row>
    <row r="134">
      <c r="C134" s="227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50" zoomScaleNormal="50" workbookViewId="0">
      <selection activeCell="N2" sqref="N2:N18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5"/>
    <col width="9.44140625" bestFit="1" customWidth="1" style="484" min="6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241" t="n"/>
      <c r="B2" s="242" t="n"/>
      <c r="C2" s="388" t="n"/>
      <c r="D2" s="399" t="n"/>
      <c r="E2" s="151" t="n"/>
      <c r="F2" s="193" t="n"/>
      <c r="G2" s="193" t="n"/>
      <c r="H2" s="151" t="n"/>
      <c r="I2" s="449" t="n"/>
      <c r="J2" s="388" t="n"/>
      <c r="K2" s="392" t="n"/>
      <c r="L2" s="391" t="n"/>
      <c r="M2" s="392">
        <f>K2+L2</f>
        <v/>
      </c>
      <c r="N2" s="392" t="n">
        <v>0</v>
      </c>
    </row>
    <row r="3" ht="17.25" customFormat="1" customHeight="1" s="110">
      <c r="A3" s="241" t="n"/>
      <c r="B3" s="242" t="n"/>
      <c r="C3" s="388" t="n"/>
      <c r="D3" s="399" t="n"/>
      <c r="E3" s="151" t="n"/>
      <c r="F3" s="193" t="n"/>
      <c r="G3" s="193" t="n"/>
      <c r="H3" s="151" t="n"/>
      <c r="I3" s="449" t="n"/>
      <c r="J3" s="388" t="n"/>
      <c r="K3" s="392" t="n"/>
      <c r="L3" s="391" t="n"/>
      <c r="M3" s="392">
        <f>K3+L3</f>
        <v/>
      </c>
      <c r="N3" s="392" t="n">
        <v>0</v>
      </c>
    </row>
    <row r="4" ht="17.25" customFormat="1" customHeight="1" s="110">
      <c r="A4" s="195" t="n"/>
      <c r="B4" s="245" t="n"/>
      <c r="C4" s="246" t="n"/>
      <c r="D4" s="448" t="n"/>
      <c r="E4" s="208" t="n"/>
      <c r="F4" s="230" t="n"/>
      <c r="G4" s="230" t="n"/>
      <c r="H4" s="485" t="n"/>
      <c r="I4" s="486" t="n"/>
      <c r="J4" s="393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89" t="n"/>
      <c r="B5" s="90" t="n"/>
      <c r="C5" s="91" t="n"/>
      <c r="D5" s="399" t="n"/>
      <c r="E5" s="102" t="n"/>
      <c r="F5" s="111" t="n"/>
      <c r="G5" s="111" t="n"/>
      <c r="H5" s="39" t="n"/>
      <c r="I5" s="393" t="n"/>
      <c r="J5" s="393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204" t="n"/>
      <c r="B6" s="206" t="n"/>
      <c r="C6" s="207" t="n"/>
      <c r="D6" s="428" t="n"/>
      <c r="E6" s="127" t="n"/>
      <c r="F6" s="128" t="n"/>
      <c r="G6" s="128" t="n"/>
      <c r="H6" s="127" t="n"/>
      <c r="I6" s="455" t="n"/>
      <c r="J6" s="404" t="n"/>
      <c r="K6" s="392" t="n"/>
      <c r="L6" s="391" t="n"/>
      <c r="M6" s="392">
        <f>K6+L6</f>
        <v/>
      </c>
      <c r="N6" s="392" t="n">
        <v>0</v>
      </c>
    </row>
    <row r="7" ht="17.25" customFormat="1" customHeight="1" s="110">
      <c r="A7" s="204" t="n"/>
      <c r="B7" s="206" t="n"/>
      <c r="C7" s="142" t="n"/>
      <c r="D7" s="127" t="n"/>
      <c r="E7" s="399" t="n"/>
      <c r="F7" s="128" t="n"/>
      <c r="G7" s="128" t="n"/>
      <c r="H7" s="399" t="n"/>
      <c r="I7" s="455" t="n"/>
      <c r="J7" s="393" t="n"/>
      <c r="K7" s="392" t="n"/>
      <c r="L7" s="391" t="n"/>
      <c r="M7" s="392">
        <f>K7+L7</f>
        <v/>
      </c>
      <c r="N7" s="392" t="n">
        <v>0</v>
      </c>
    </row>
    <row r="8" ht="17.25" customFormat="1" customHeight="1" s="110">
      <c r="A8" s="204" t="n"/>
      <c r="B8" s="206" t="n"/>
      <c r="C8" s="142" t="n"/>
      <c r="D8" s="127" t="n"/>
      <c r="E8" s="127" t="n"/>
      <c r="F8" s="128" t="n"/>
      <c r="G8" s="128" t="n"/>
      <c r="H8" s="127" t="n"/>
      <c r="I8" s="455" t="n"/>
      <c r="J8" s="393" t="n"/>
      <c r="K8" s="392" t="n"/>
      <c r="L8" s="391" t="n"/>
      <c r="M8" s="392">
        <f>K8+L8</f>
        <v/>
      </c>
      <c r="N8" s="392" t="n">
        <v>0</v>
      </c>
    </row>
    <row r="9" ht="17.25" customFormat="1" customHeight="1" s="110">
      <c r="A9" s="89" t="n"/>
      <c r="B9" s="48" t="n"/>
      <c r="C9" s="99" t="n"/>
      <c r="D9" s="487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Format="1" customHeight="1" s="110">
      <c r="A10" s="89" t="n"/>
      <c r="B10" s="48" t="n"/>
      <c r="C10" s="99" t="n"/>
      <c r="D10" s="428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147" t="n"/>
      <c r="B11" s="131" t="n"/>
      <c r="C11" s="91" t="n"/>
      <c r="D11" s="91" t="n"/>
      <c r="E11" s="91" t="n"/>
      <c r="F11" s="111" t="n"/>
      <c r="G11" s="111" t="n"/>
      <c r="H11" s="91" t="n"/>
      <c r="I11" s="389" t="n"/>
      <c r="J11" s="404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147" t="n"/>
      <c r="B12" s="131" t="n"/>
      <c r="C12" s="91" t="n"/>
      <c r="D12" s="91" t="n"/>
      <c r="E12" s="91" t="n"/>
      <c r="F12" s="111" t="n"/>
      <c r="G12" s="111" t="n"/>
      <c r="H12" s="91" t="n"/>
      <c r="I12" s="389" t="n"/>
      <c r="J12" s="404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89" t="n"/>
      <c r="B13" s="48" t="n"/>
      <c r="C13" s="91" t="n"/>
      <c r="D13" s="448" t="n"/>
      <c r="E13" s="39" t="n"/>
      <c r="F13" s="40" t="n"/>
      <c r="G13" s="40" t="n"/>
      <c r="H13" s="398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>
      <c r="A14" s="45" t="n"/>
      <c r="B14" s="48" t="n"/>
      <c r="C14" s="39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392">
        <f>K14+L14</f>
        <v/>
      </c>
      <c r="N14" s="392" t="n">
        <v>0</v>
      </c>
    </row>
    <row r="15">
      <c r="A15" s="45" t="n"/>
      <c r="B15" s="46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>
      <c r="A16" s="47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>
      <c r="A17" s="45" t="n"/>
      <c r="B17" s="46" t="n"/>
      <c r="C17" s="39" t="n"/>
      <c r="D17" s="399" t="n"/>
      <c r="E17" s="39" t="n"/>
      <c r="F17" s="40" t="n"/>
      <c r="G17" s="40" t="n"/>
      <c r="H17" s="39" t="n"/>
      <c r="I17" s="393" t="n"/>
      <c r="J17" s="404" t="n"/>
      <c r="K17" s="392" t="n"/>
      <c r="L17" s="392" t="n"/>
      <c r="M17" s="400">
        <f>K17+L17</f>
        <v/>
      </c>
      <c r="N17" s="392" t="n">
        <v>0</v>
      </c>
    </row>
    <row r="18" customFormat="1" s="6">
      <c r="A18" s="1" t="n"/>
      <c r="B18" s="8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47" t="n"/>
      <c r="B25" s="48" t="n"/>
      <c r="C25" s="39" t="n"/>
      <c r="D25" s="405" t="n"/>
      <c r="E25" s="39" t="n"/>
      <c r="F25" s="488" t="n"/>
      <c r="G25" s="488" t="n"/>
      <c r="H25" s="39" t="n"/>
      <c r="I25" s="393" t="n"/>
      <c r="J25" s="404" t="n"/>
      <c r="K25" s="392" t="n"/>
      <c r="L25" s="391" t="n"/>
      <c r="M25" s="400">
        <f>K25+L25</f>
        <v/>
      </c>
      <c r="N25" s="392" t="n">
        <v>0</v>
      </c>
    </row>
    <row r="26">
      <c r="A26" s="45" t="n"/>
      <c r="B26" s="46" t="n"/>
      <c r="C26" s="39" t="n"/>
      <c r="D26" s="399" t="n"/>
      <c r="E26" s="39" t="n"/>
      <c r="F26" s="488" t="n"/>
      <c r="G26" s="488" t="n"/>
      <c r="H26" s="39" t="n"/>
      <c r="I26" s="393" t="n"/>
      <c r="J26" s="404" t="n"/>
      <c r="K26" s="392" t="n"/>
      <c r="L26" s="392" t="n"/>
      <c r="M26" s="400">
        <f>K26+L26</f>
        <v/>
      </c>
      <c r="N26" s="392" t="n">
        <v>0</v>
      </c>
    </row>
    <row r="27">
      <c r="A27" s="1" t="n"/>
      <c r="B27" s="8" t="n"/>
      <c r="C27" s="53" t="n"/>
      <c r="D27" s="381" t="n"/>
      <c r="E27" s="53" t="n"/>
      <c r="F27" s="489" t="n"/>
      <c r="G27" s="489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489" t="n"/>
      <c r="G28" s="489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489" t="n"/>
      <c r="G29" s="489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489" t="n"/>
      <c r="G30" s="489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381" t="n"/>
      <c r="E31" s="53" t="n"/>
      <c r="F31" s="489" t="n"/>
      <c r="G31" s="489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407" t="n"/>
      <c r="E32" s="53" t="n"/>
      <c r="F32" s="489" t="n"/>
      <c r="G32" s="489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51" t="n"/>
      <c r="B33" s="62" t="n"/>
      <c r="C33" s="53" t="n"/>
      <c r="D33" s="53" t="n"/>
      <c r="E33" s="53" t="n"/>
      <c r="F33" s="489" t="n"/>
      <c r="G33" s="489" t="n"/>
      <c r="H33" s="53" t="n"/>
      <c r="I33" s="403" t="n"/>
      <c r="J33" s="406" t="n"/>
      <c r="K33" s="400" t="n"/>
      <c r="L33" s="400" t="n"/>
      <c r="M33" s="400">
        <f>K33+L33</f>
        <v/>
      </c>
      <c r="N33" s="392" t="n">
        <v>0</v>
      </c>
    </row>
    <row r="34">
      <c r="A34" s="51" t="n"/>
      <c r="B34" s="62" t="n"/>
      <c r="C34" s="53" t="n"/>
      <c r="D34" s="381" t="n"/>
      <c r="E34" s="53" t="n"/>
      <c r="F34" s="489" t="n"/>
      <c r="G34" s="489" t="n"/>
      <c r="H34" s="53" t="n"/>
      <c r="I34" s="403" t="n"/>
      <c r="J34" s="406" t="n"/>
      <c r="K34" s="400" t="n"/>
      <c r="L34" s="400" t="n"/>
      <c r="M34" s="400">
        <f>K34+L34</f>
        <v/>
      </c>
      <c r="N34" s="392" t="n">
        <v>0</v>
      </c>
    </row>
    <row r="35">
      <c r="A35" s="51" t="n"/>
      <c r="B35" s="62" t="n"/>
      <c r="C35" s="53" t="n"/>
      <c r="D35" s="427" t="n"/>
      <c r="E35" s="53" t="n"/>
      <c r="F35" s="489" t="n"/>
      <c r="G35" s="489" t="n"/>
      <c r="H35" s="53" t="n"/>
      <c r="I35" s="403" t="n"/>
      <c r="J35" s="406" t="n"/>
      <c r="K35" s="400" t="n"/>
      <c r="L35" s="400" t="n"/>
      <c r="M35" s="400">
        <f>K35+L35</f>
        <v/>
      </c>
      <c r="N35" s="392" t="n">
        <v>0</v>
      </c>
    </row>
    <row r="36">
      <c r="A36" s="51" t="n"/>
      <c r="B36" s="62" t="n"/>
      <c r="C36" s="53" t="n"/>
      <c r="D36" s="381" t="n"/>
      <c r="E36" s="53" t="n"/>
      <c r="F36" s="489" t="n"/>
      <c r="G36" s="489" t="n"/>
      <c r="H36" s="53" t="n"/>
      <c r="I36" s="403" t="n"/>
      <c r="J36" s="406" t="n"/>
      <c r="K36" s="400" t="n"/>
      <c r="L36" s="400" t="n"/>
      <c r="M36" s="400">
        <f>K36+L36</f>
        <v/>
      </c>
      <c r="N36" s="392" t="n">
        <v>0</v>
      </c>
    </row>
    <row r="37">
      <c r="A37" s="51" t="n"/>
      <c r="B37" s="62" t="n"/>
      <c r="C37" s="53" t="n"/>
      <c r="D37" s="9" t="n"/>
      <c r="E37" s="53" t="n"/>
      <c r="F37" s="489" t="n"/>
      <c r="G37" s="489" t="n"/>
      <c r="H37" s="53" t="n"/>
      <c r="I37" s="403" t="n"/>
      <c r="J37" s="406" t="n"/>
      <c r="K37" s="400" t="n"/>
      <c r="L37" s="400" t="n"/>
      <c r="M37" s="400">
        <f>K37+L37</f>
        <v/>
      </c>
      <c r="N37" s="392" t="n">
        <v>0</v>
      </c>
    </row>
    <row r="38" ht="17.25" customHeight="1" s="374" thickBot="1">
      <c r="A38" s="51" t="n"/>
      <c r="B38" s="62" t="n"/>
      <c r="C38" s="53" t="n"/>
      <c r="D38" s="381" t="n"/>
      <c r="E38" s="53" t="n"/>
      <c r="F38" s="489" t="n"/>
      <c r="G38" s="489" t="n"/>
      <c r="H38" s="53" t="n"/>
      <c r="I38" s="403" t="n"/>
      <c r="J38" s="406" t="n"/>
      <c r="K38" s="400" t="n"/>
      <c r="L38" s="400" t="n"/>
      <c r="M38" s="490">
        <f>K38+L38</f>
        <v/>
      </c>
      <c r="N38" s="491" t="n">
        <v>0</v>
      </c>
    </row>
    <row r="39">
      <c r="A39" s="104" t="n"/>
      <c r="B39" s="105" t="n"/>
      <c r="C39" s="101" t="n"/>
      <c r="D39" s="492" t="n"/>
      <c r="E39" s="101" t="n"/>
      <c r="F39" s="493" t="n"/>
      <c r="G39" s="493" t="n"/>
      <c r="H39" s="101" t="n"/>
      <c r="I39" s="494" t="n"/>
      <c r="J39" s="495" t="n"/>
      <c r="K39" s="434" t="n"/>
      <c r="L39" s="434" t="n"/>
      <c r="M39" s="434" t="n"/>
      <c r="N39" s="422" t="n"/>
    </row>
    <row r="40" ht="17.25" customHeight="1" s="374" thickBot="1">
      <c r="A40" s="20" t="n"/>
      <c r="B40" s="21" t="n"/>
      <c r="C40" s="22" t="n"/>
      <c r="D40" s="21" t="n"/>
      <c r="E40" s="21" t="n"/>
      <c r="F40" s="496" t="n"/>
      <c r="G40" s="496" t="n"/>
      <c r="H40" s="21" t="n"/>
      <c r="J40" s="420" t="n"/>
      <c r="K40" s="421" t="n"/>
      <c r="L40" s="421" t="n"/>
      <c r="M40" s="497">
        <f>SUM(M2:M38)</f>
        <v/>
      </c>
      <c r="N40" s="497">
        <f>SUM(N2:N38)</f>
        <v/>
      </c>
    </row>
    <row r="41">
      <c r="A41" s="20" t="n"/>
      <c r="B41" s="21" t="n"/>
      <c r="C41" s="22" t="n"/>
      <c r="D41" s="21" t="n"/>
      <c r="E41" s="21" t="n"/>
      <c r="F41" s="496" t="n"/>
      <c r="G41" s="496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496" t="n"/>
      <c r="G42" s="496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35"/>
  <sheetViews>
    <sheetView zoomScale="70" zoomScaleNormal="70" workbookViewId="0">
      <selection activeCell="N17" sqref="N17:N33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67" t="inlineStr">
        <is>
          <t>Ord No.</t>
        </is>
      </c>
      <c r="B1" s="68" t="inlineStr">
        <is>
          <t>Time</t>
        </is>
      </c>
      <c r="C1" s="68" t="inlineStr">
        <is>
          <t>Trip</t>
        </is>
      </c>
      <c r="D1" s="441" t="inlineStr">
        <is>
          <t>Driver</t>
        </is>
      </c>
      <c r="E1" s="498" t="inlineStr">
        <is>
          <t>Status</t>
        </is>
      </c>
      <c r="F1" s="498" t="inlineStr">
        <is>
          <t>Pick</t>
        </is>
      </c>
      <c r="G1" s="498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46">
      <c r="A2" s="89" t="n"/>
      <c r="B2" s="90" t="n"/>
      <c r="C2" s="39" t="n"/>
      <c r="D2" s="499" t="n"/>
      <c r="E2" s="399" t="n"/>
      <c r="F2" s="230" t="n"/>
      <c r="G2" s="230" t="n"/>
      <c r="H2" s="208" t="n"/>
      <c r="I2" s="486" t="n"/>
      <c r="J2" s="500" t="n"/>
      <c r="K2" s="392" t="n"/>
      <c r="L2" s="391" t="n"/>
      <c r="M2" s="392">
        <f>K2+L2</f>
        <v/>
      </c>
      <c r="N2" s="392" t="n">
        <v>0</v>
      </c>
      <c r="O2" s="110" t="n"/>
      <c r="P2" s="110" t="n"/>
    </row>
    <row r="3" ht="17.25" customFormat="1" customHeight="1" s="110">
      <c r="A3" s="267" t="n"/>
      <c r="B3" s="141" t="n"/>
      <c r="C3" s="142" t="n"/>
      <c r="D3" s="474" t="n"/>
      <c r="E3" s="127" t="n"/>
      <c r="F3" s="128" t="n"/>
      <c r="G3" s="128" t="n"/>
      <c r="H3" s="253" t="n"/>
      <c r="I3" s="464" t="n"/>
      <c r="J3" s="404" t="n"/>
      <c r="K3" s="392" t="n"/>
      <c r="L3" s="391" t="n"/>
      <c r="M3" s="392">
        <f>K3+L3</f>
        <v/>
      </c>
      <c r="N3" s="392" t="n">
        <v>0</v>
      </c>
      <c r="O3" s="152" t="n"/>
      <c r="P3" s="152" t="n"/>
    </row>
    <row r="4" ht="17.25" customFormat="1" customHeight="1" s="110">
      <c r="A4" s="147" t="n"/>
      <c r="B4" s="131" t="n"/>
      <c r="C4" s="91" t="n"/>
      <c r="D4" s="499" t="n"/>
      <c r="E4" s="39" t="n"/>
      <c r="F4" s="40" t="n"/>
      <c r="G4" s="40" t="n"/>
      <c r="H4" s="160" t="n"/>
      <c r="I4" s="389" t="n"/>
      <c r="J4" s="393" t="n"/>
      <c r="K4" s="392" t="n"/>
      <c r="L4" s="391" t="n"/>
      <c r="M4" s="392">
        <f>K4+L4</f>
        <v/>
      </c>
      <c r="N4" s="392" t="n">
        <v>0</v>
      </c>
      <c r="O4" s="152" t="n"/>
      <c r="P4" s="152" t="n"/>
    </row>
    <row r="5" ht="17.25" customFormat="1" customHeight="1" s="110">
      <c r="A5" s="147" t="n"/>
      <c r="B5" s="131" t="n"/>
      <c r="C5" s="91" t="n"/>
      <c r="D5" s="499" t="n"/>
      <c r="E5" s="39" t="n"/>
      <c r="F5" s="40" t="n"/>
      <c r="G5" s="40" t="n"/>
      <c r="H5" s="160" t="n"/>
      <c r="I5" s="389" t="n"/>
      <c r="J5" s="393" t="n"/>
      <c r="K5" s="392" t="n"/>
      <c r="L5" s="391" t="n"/>
      <c r="M5" s="392">
        <f>K5+L5</f>
        <v/>
      </c>
      <c r="N5" s="392" t="n">
        <v>0</v>
      </c>
      <c r="O5" s="152" t="n"/>
      <c r="P5" s="152" t="n"/>
    </row>
    <row r="6" ht="17.25" customFormat="1" customHeight="1" s="251">
      <c r="A6" s="99" t="n"/>
      <c r="B6" s="98" t="n"/>
      <c r="C6" s="91" t="n"/>
      <c r="D6" s="399" t="n"/>
      <c r="F6" s="254" t="n"/>
      <c r="G6" s="254" t="n"/>
      <c r="J6" s="393" t="n"/>
      <c r="K6" s="392" t="n"/>
      <c r="L6" s="391" t="n"/>
      <c r="M6" s="392">
        <f>K6+L6</f>
        <v/>
      </c>
      <c r="N6" s="392" t="n">
        <v>0</v>
      </c>
    </row>
    <row r="7" ht="17.25" customFormat="1" customHeight="1" s="110">
      <c r="A7" s="89" t="n"/>
      <c r="B7" s="90" t="n"/>
      <c r="C7" s="39" t="n"/>
      <c r="D7" s="399" t="n"/>
      <c r="E7" s="39" t="n"/>
      <c r="F7" s="40" t="n"/>
      <c r="G7" s="40" t="n"/>
      <c r="H7" s="39" t="n"/>
      <c r="I7" s="393" t="n"/>
      <c r="J7" s="501" t="n"/>
      <c r="K7" s="396" t="n"/>
      <c r="L7" s="429" t="n"/>
      <c r="M7" s="396">
        <f>K7+L7</f>
        <v/>
      </c>
      <c r="N7" s="392" t="n">
        <v>0</v>
      </c>
      <c r="O7" s="152" t="n"/>
      <c r="P7" s="152" t="n"/>
    </row>
    <row r="8" ht="17.25" customFormat="1" customHeight="1" s="110">
      <c r="A8" s="89" t="n"/>
      <c r="B8" s="90" t="n"/>
      <c r="C8" s="39" t="n"/>
      <c r="D8" s="399" t="n"/>
      <c r="E8" s="39" t="n"/>
      <c r="F8" s="40" t="n"/>
      <c r="G8" s="40" t="n"/>
      <c r="H8" s="39" t="n"/>
      <c r="I8" s="393" t="n"/>
      <c r="J8" s="501" t="n"/>
      <c r="K8" s="396" t="n"/>
      <c r="L8" s="429" t="n"/>
      <c r="M8" s="396">
        <f>K8+L8</f>
        <v/>
      </c>
      <c r="N8" s="392" t="n">
        <v>0</v>
      </c>
      <c r="O8" s="152" t="n"/>
      <c r="P8" s="152" t="n"/>
    </row>
    <row r="9" ht="17.25" customFormat="1" customHeight="1" s="110">
      <c r="A9" s="89" t="n"/>
      <c r="B9" s="48" t="n"/>
      <c r="C9" s="91" t="n"/>
      <c r="D9" s="99" t="n"/>
      <c r="E9" s="102" t="n"/>
      <c r="F9" s="40" t="n"/>
      <c r="G9" s="40" t="n"/>
      <c r="H9" s="398" t="n"/>
      <c r="I9" s="393" t="n"/>
      <c r="J9" s="393" t="n"/>
      <c r="K9" s="392" t="n"/>
      <c r="L9" s="391" t="n"/>
      <c r="M9" s="392">
        <f>K9+L9</f>
        <v/>
      </c>
      <c r="N9" s="392" t="n">
        <v>0</v>
      </c>
      <c r="O9" s="152" t="n"/>
      <c r="P9" s="152" t="n"/>
    </row>
    <row r="10" ht="17.25" customFormat="1" customHeight="1" s="110">
      <c r="A10" s="89" t="n"/>
      <c r="B10" s="48" t="n"/>
      <c r="C10" s="91" t="n"/>
      <c r="D10" s="399" t="n"/>
      <c r="E10" s="102" t="n"/>
      <c r="F10" s="40" t="n"/>
      <c r="G10" s="40" t="n"/>
      <c r="H10" s="398" t="n"/>
      <c r="I10" s="393" t="n"/>
      <c r="J10" s="393" t="n"/>
      <c r="K10" s="392" t="n"/>
      <c r="L10" s="391" t="n"/>
      <c r="M10" s="392">
        <f>K10+L10</f>
        <v/>
      </c>
      <c r="N10" s="392" t="n">
        <v>0</v>
      </c>
      <c r="O10" s="152" t="n"/>
      <c r="P10" s="152" t="n"/>
    </row>
    <row r="11" ht="17.25" customFormat="1" customHeight="1" s="6">
      <c r="A11" s="89" t="n"/>
      <c r="B11" s="48" t="n"/>
      <c r="C11" s="91" t="n"/>
      <c r="D11" s="399" t="n"/>
      <c r="E11" s="102" t="n"/>
      <c r="F11" s="40" t="n"/>
      <c r="G11" s="40" t="n"/>
      <c r="H11" s="398" t="n"/>
      <c r="I11" s="393" t="n"/>
      <c r="J11" s="404" t="n"/>
      <c r="K11" s="392" t="n"/>
      <c r="L11" s="391" t="n"/>
      <c r="M11" s="392">
        <f>K11+L11</f>
        <v/>
      </c>
      <c r="N11" s="392" t="n">
        <v>0</v>
      </c>
      <c r="O11" s="153" t="n"/>
      <c r="P11" s="153" t="n"/>
    </row>
    <row r="12" ht="17.25" customFormat="1" customHeight="1" s="6">
      <c r="A12" s="89" t="n"/>
      <c r="B12" s="48" t="n"/>
      <c r="C12" s="91" t="n"/>
      <c r="D12" s="447" t="n"/>
      <c r="E12" s="102" t="n"/>
      <c r="F12" s="40" t="n"/>
      <c r="G12" s="40" t="n"/>
      <c r="H12" s="398" t="n"/>
      <c r="I12" s="393" t="n"/>
      <c r="J12" s="404" t="n"/>
      <c r="K12" s="392" t="n"/>
      <c r="L12" s="391" t="n"/>
      <c r="M12" s="392">
        <f>K12+L12</f>
        <v/>
      </c>
      <c r="N12" s="392" t="n">
        <v>0</v>
      </c>
      <c r="O12" s="153" t="n"/>
      <c r="P12" s="153" t="n"/>
    </row>
    <row r="13" ht="15.75" customFormat="1" customHeight="1" s="6">
      <c r="A13" s="1" t="n"/>
      <c r="B13" s="52" t="n"/>
      <c r="C13" s="91" t="n"/>
      <c r="D13" s="402" t="n"/>
      <c r="E13" s="85" t="n"/>
      <c r="F13" s="54" t="n"/>
      <c r="G13" s="54" t="n"/>
      <c r="H13" s="53" t="n"/>
      <c r="I13" s="403" t="n"/>
      <c r="J13" s="406" t="n"/>
      <c r="K13" s="400" t="n"/>
      <c r="L13" s="435" t="n"/>
      <c r="M13" s="400">
        <f>K13+L13</f>
        <v/>
      </c>
      <c r="N13" s="392" t="n">
        <v>0</v>
      </c>
      <c r="O13" s="153" t="n"/>
      <c r="P13" s="153" t="n"/>
    </row>
    <row r="14" ht="15.75" customFormat="1" customHeight="1" s="6">
      <c r="A14" s="1" t="n"/>
      <c r="B14" s="52" t="n"/>
      <c r="C14" s="91" t="n"/>
      <c r="D14" s="402" t="n"/>
      <c r="E14" s="85" t="n"/>
      <c r="F14" s="54" t="n"/>
      <c r="G14" s="54" t="n"/>
      <c r="H14" s="53" t="n"/>
      <c r="I14" s="403" t="n"/>
      <c r="J14" s="406" t="n"/>
      <c r="K14" s="400" t="n"/>
      <c r="L14" s="435" t="n"/>
      <c r="M14" s="400">
        <f>K14+L14</f>
        <v/>
      </c>
      <c r="N14" s="392" t="n">
        <v>0</v>
      </c>
      <c r="O14" s="153" t="n"/>
      <c r="P14" s="153" t="n"/>
    </row>
    <row r="15" ht="15.75" customFormat="1" customHeight="1" s="6">
      <c r="A15" s="1" t="n"/>
      <c r="B15" s="52" t="n"/>
      <c r="C15" s="91" t="n"/>
      <c r="D15" s="402" t="n"/>
      <c r="E15" s="85" t="n"/>
      <c r="F15" s="54" t="n"/>
      <c r="G15" s="54" t="n"/>
      <c r="H15" s="53" t="n"/>
      <c r="I15" s="403" t="n"/>
      <c r="J15" s="406" t="n"/>
      <c r="K15" s="400" t="n"/>
      <c r="L15" s="435" t="n"/>
      <c r="M15" s="400">
        <f>K15+L15</f>
        <v/>
      </c>
      <c r="N15" s="392" t="n">
        <v>0</v>
      </c>
      <c r="O15" s="153" t="n"/>
      <c r="P15" s="153" t="n"/>
    </row>
    <row r="16" ht="15.75" customFormat="1" customHeight="1" s="6">
      <c r="A16" s="51" t="n"/>
      <c r="B16" s="52" t="n"/>
      <c r="C16" s="53" t="n"/>
      <c r="D16" s="402" t="n"/>
      <c r="E16" s="53" t="n"/>
      <c r="F16" s="54" t="n"/>
      <c r="G16" s="54" t="n"/>
      <c r="H16" s="408" t="n"/>
      <c r="I16" s="403" t="n"/>
      <c r="J16" s="406" t="n"/>
      <c r="K16" s="400" t="n"/>
      <c r="L16" s="435" t="n"/>
      <c r="M16" s="400">
        <f>K16+L16</f>
        <v/>
      </c>
      <c r="N16" s="392" t="n">
        <v>0</v>
      </c>
      <c r="O16" s="153" t="n"/>
      <c r="P16" s="153" t="n"/>
    </row>
    <row r="17" ht="15.75" customFormat="1" customHeight="1" s="6">
      <c r="A17" s="51" t="n"/>
      <c r="B17" s="52" t="n"/>
      <c r="C17" s="53" t="n"/>
      <c r="D17" s="402" t="n"/>
      <c r="E17" s="53" t="n"/>
      <c r="F17" s="54" t="n"/>
      <c r="G17" s="54" t="n"/>
      <c r="H17" s="408" t="n"/>
      <c r="I17" s="403" t="n"/>
      <c r="J17" s="406" t="n"/>
      <c r="K17" s="400" t="n"/>
      <c r="L17" s="435" t="n"/>
      <c r="M17" s="400">
        <f>K17+L17</f>
        <v/>
      </c>
      <c r="N17" s="392" t="n">
        <v>0</v>
      </c>
      <c r="O17" s="153" t="n"/>
      <c r="P17" s="153" t="n"/>
    </row>
    <row r="18" ht="15.75" customHeight="1" s="374">
      <c r="A18" s="45" t="n"/>
      <c r="B18" s="48" t="n"/>
      <c r="C18" s="39" t="n"/>
      <c r="D18" s="399" t="n"/>
      <c r="E18" s="39" t="n"/>
      <c r="F18" s="40" t="n"/>
      <c r="G18" s="40" t="n"/>
      <c r="H18" s="39" t="n"/>
      <c r="I18" s="393" t="n"/>
      <c r="J18" s="404" t="n"/>
      <c r="K18" s="392" t="n"/>
      <c r="L18" s="391" t="n"/>
      <c r="M18" s="400">
        <f>K18+L18</f>
        <v/>
      </c>
      <c r="N18" s="392" t="n">
        <v>0</v>
      </c>
      <c r="O18" s="155" t="n"/>
      <c r="P18" s="155" t="n"/>
    </row>
    <row r="19" ht="15.75" customHeight="1" s="374">
      <c r="A19" s="45" t="n"/>
      <c r="B19" s="46" t="n"/>
      <c r="C19" s="39" t="n"/>
      <c r="D19" s="405" t="n"/>
      <c r="E19" s="39" t="n"/>
      <c r="F19" s="40" t="n"/>
      <c r="G19" s="40" t="n"/>
      <c r="H19" s="39" t="n"/>
      <c r="I19" s="393" t="n"/>
      <c r="J19" s="404" t="n"/>
      <c r="K19" s="392" t="n"/>
      <c r="L19" s="391" t="n"/>
      <c r="M19" s="400">
        <f>K19+L19</f>
        <v/>
      </c>
      <c r="N19" s="392" t="n">
        <v>0</v>
      </c>
      <c r="O19" s="155" t="n"/>
      <c r="P19" s="155" t="n"/>
    </row>
    <row r="20" ht="15.75" customHeight="1" s="374">
      <c r="A20" s="47" t="n"/>
      <c r="B20" s="48" t="n"/>
      <c r="C20" s="39" t="n"/>
      <c r="D20" s="405" t="n"/>
      <c r="E20" s="39" t="n"/>
      <c r="F20" s="40" t="n"/>
      <c r="G20" s="40" t="n"/>
      <c r="H20" s="39" t="n"/>
      <c r="I20" s="393" t="n"/>
      <c r="J20" s="404" t="n"/>
      <c r="K20" s="392" t="n"/>
      <c r="L20" s="391" t="n"/>
      <c r="M20" s="400">
        <f>K20+L20</f>
        <v/>
      </c>
      <c r="N20" s="392" t="n">
        <v>0</v>
      </c>
      <c r="O20" s="155" t="n"/>
      <c r="P20" s="155" t="n"/>
    </row>
    <row r="21" ht="15.75" customHeight="1" s="374">
      <c r="A21" s="45" t="n"/>
      <c r="B21" s="46" t="n"/>
      <c r="C21" s="39" t="n"/>
      <c r="D21" s="399" t="n"/>
      <c r="E21" s="39" t="n"/>
      <c r="F21" s="40" t="n"/>
      <c r="G21" s="40" t="n"/>
      <c r="H21" s="39" t="n"/>
      <c r="I21" s="393" t="n"/>
      <c r="J21" s="404" t="n"/>
      <c r="K21" s="392" t="n"/>
      <c r="L21" s="392" t="n"/>
      <c r="M21" s="400">
        <f>K21+L21</f>
        <v/>
      </c>
      <c r="N21" s="392" t="n">
        <v>0</v>
      </c>
      <c r="O21" s="155" t="n"/>
      <c r="P21" s="155" t="n"/>
    </row>
    <row r="22" ht="15.75" customHeight="1" s="374">
      <c r="A22" s="1" t="n"/>
      <c r="B22" s="8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  <c r="O22" s="155" t="n"/>
      <c r="P22" s="155" t="n"/>
    </row>
    <row r="23" ht="15.75" customHeight="1" s="374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  <c r="O23" s="155" t="n"/>
      <c r="P23" s="155" t="n"/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  <c r="O24" s="155" t="n"/>
      <c r="P24" s="155" t="n"/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  <c r="O25" s="155" t="n"/>
      <c r="P25" s="155" t="n"/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  <c r="O26" s="155" t="n"/>
      <c r="P26" s="155" t="n"/>
    </row>
    <row r="27">
      <c r="A27" s="51" t="n"/>
      <c r="B27" s="62" t="n"/>
      <c r="C27" s="53" t="n"/>
      <c r="D27" s="407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  <c r="O27" s="155" t="n"/>
      <c r="P27" s="155" t="n"/>
    </row>
    <row r="28">
      <c r="A28" s="51" t="n"/>
      <c r="B28" s="62" t="n"/>
      <c r="C28" s="53" t="n"/>
      <c r="D28" s="53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  <c r="O28" s="155" t="n"/>
      <c r="P28" s="155" t="n"/>
    </row>
    <row r="29">
      <c r="A29" s="51" t="n"/>
      <c r="B29" s="62" t="n"/>
      <c r="C29" s="53" t="n"/>
      <c r="D29" s="427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  <c r="O29" s="155" t="n"/>
      <c r="P29" s="155" t="n"/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  <c r="O30" s="155" t="n"/>
      <c r="P30" s="155" t="n"/>
    </row>
    <row r="31">
      <c r="A31" s="51" t="n"/>
      <c r="B31" s="62" t="n"/>
      <c r="C31" s="53" t="n"/>
      <c r="D31" s="149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  <c r="O31" s="155" t="n"/>
      <c r="P31" s="155" t="n"/>
    </row>
    <row r="32">
      <c r="A32" s="51" t="n"/>
      <c r="B32" s="62" t="n"/>
      <c r="C32" s="53" t="n"/>
      <c r="D32" s="381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  <c r="O32" s="155" t="n"/>
      <c r="P32" s="155" t="n"/>
    </row>
    <row r="33">
      <c r="A33" s="51" t="n"/>
      <c r="B33" s="62" t="n"/>
      <c r="C33" s="53" t="n"/>
      <c r="D33" s="381" t="n"/>
      <c r="E33" s="53" t="n"/>
      <c r="F33" s="61" t="n"/>
      <c r="G33" s="61" t="n"/>
      <c r="H33" s="53" t="n"/>
      <c r="I33" s="403" t="n"/>
      <c r="J33" s="406" t="n"/>
      <c r="K33" s="400" t="n"/>
      <c r="L33" s="400" t="n"/>
      <c r="M33" s="400">
        <f>K33+L33</f>
        <v/>
      </c>
      <c r="N33" s="390" t="n">
        <v>0</v>
      </c>
      <c r="O33" s="155" t="n"/>
      <c r="P33" s="155" t="n"/>
    </row>
    <row r="34">
      <c r="A34" s="51" t="n"/>
      <c r="B34" s="62" t="n"/>
      <c r="C34" s="53" t="n"/>
      <c r="D34" s="407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  <c r="O34" s="155" t="n"/>
      <c r="P34" s="155" t="n"/>
    </row>
    <row r="35">
      <c r="A35" s="14" t="n"/>
      <c r="B35" s="15" t="n"/>
      <c r="C35" s="10" t="n"/>
      <c r="D35" s="38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  <c r="O35" s="155" t="n"/>
      <c r="P35" s="155" t="n"/>
    </row>
    <row r="36">
      <c r="A36" s="14" t="n"/>
      <c r="B36" s="15" t="n"/>
      <c r="C36" s="10" t="n"/>
      <c r="D36" s="411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  <c r="O36" s="155" t="n"/>
      <c r="P36" s="155" t="n"/>
    </row>
    <row r="37">
      <c r="A37" s="14" t="n"/>
      <c r="B37" s="15" t="n"/>
      <c r="C37" s="10" t="n"/>
      <c r="D37" s="411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10" t="n"/>
      <c r="D38" s="381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15">
        <f>K38+L38</f>
        <v/>
      </c>
      <c r="N38" s="390" t="n">
        <v>0</v>
      </c>
    </row>
    <row r="39">
      <c r="A39" s="17" t="n"/>
      <c r="B39" s="18" t="n"/>
      <c r="C39" s="10" t="n"/>
      <c r="D39" s="402" t="n"/>
      <c r="E39" s="10" t="n"/>
      <c r="F39" s="61" t="n"/>
      <c r="G39" s="61" t="n"/>
      <c r="H39" s="10" t="n"/>
      <c r="I39" s="412" t="n"/>
      <c r="J39" s="409" t="n"/>
      <c r="K39" s="410" t="n"/>
      <c r="L39" s="502" t="n"/>
      <c r="M39" s="503">
        <f>K39+L39</f>
        <v/>
      </c>
      <c r="N39" s="504" t="n">
        <v>0</v>
      </c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I40" s="416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  <c r="M42" s="424" t="n"/>
    </row>
    <row r="43">
      <c r="A43" s="20" t="n"/>
      <c r="B43" s="21" t="n"/>
      <c r="C43" s="22" t="n"/>
      <c r="D43" s="21" t="n"/>
      <c r="E43" s="21" t="n"/>
      <c r="F43" s="21" t="n"/>
      <c r="G43" s="21" t="n"/>
      <c r="H43" s="21" t="n"/>
      <c r="J43" s="420" t="n"/>
      <c r="K43" s="421" t="n"/>
      <c r="L43" s="421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  <row r="135">
      <c r="C135" s="30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35"/>
  <sheetViews>
    <sheetView zoomScale="51" zoomScaleNormal="51" workbookViewId="0">
      <selection activeCell="I26" sqref="I26"/>
    </sheetView>
  </sheetViews>
  <sheetFormatPr baseColWidth="8" defaultColWidth="8.77734375" defaultRowHeight="16.2"/>
  <cols>
    <col width="9" customWidth="1" style="29" min="1" max="1"/>
    <col width="60.21875" customWidth="1" style="374" min="3" max="3"/>
    <col width="25.21875" customWidth="1" style="374" min="4" max="4"/>
    <col width="9" bestFit="1" customWidth="1" style="35" min="5" max="5"/>
    <col width="9" bestFit="1" customWidth="1" style="374" min="6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67" t="inlineStr">
        <is>
          <t>Ord No.</t>
        </is>
      </c>
      <c r="B1" s="68" t="inlineStr">
        <is>
          <t>Time</t>
        </is>
      </c>
      <c r="C1" s="68" t="inlineStr">
        <is>
          <t>Trip</t>
        </is>
      </c>
      <c r="D1" s="441" t="inlineStr">
        <is>
          <t>Driver</t>
        </is>
      </c>
      <c r="E1" s="498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34">
      <c r="A2" s="146" t="n"/>
      <c r="B2" s="156" t="n"/>
      <c r="C2" s="151" t="n"/>
      <c r="D2" s="402" t="n"/>
      <c r="E2" s="151" t="n"/>
      <c r="F2" s="193" t="n"/>
      <c r="G2" s="193" t="n"/>
      <c r="H2" s="151" t="n"/>
      <c r="I2" s="449" t="n"/>
      <c r="J2" s="404" t="n"/>
      <c r="K2" s="505" t="n"/>
      <c r="L2" s="391" t="n"/>
      <c r="M2" s="392">
        <f>K2+L2</f>
        <v/>
      </c>
      <c r="N2" s="392" t="n">
        <v>0</v>
      </c>
      <c r="O2" s="192" t="n"/>
      <c r="P2" s="146" t="n"/>
    </row>
    <row r="3" ht="17.25" customFormat="1" customHeight="1" s="134">
      <c r="A3" s="146" t="n"/>
      <c r="B3" s="156" t="n"/>
      <c r="C3" s="151" t="n"/>
      <c r="D3" s="156" t="n"/>
      <c r="E3" s="151" t="n"/>
      <c r="F3" s="170" t="n"/>
      <c r="G3" s="170" t="n"/>
      <c r="H3" s="448" t="n"/>
      <c r="I3" s="506" t="n"/>
      <c r="J3" s="404" t="n"/>
      <c r="K3" s="465" t="n"/>
      <c r="L3" s="466" t="n"/>
      <c r="M3" s="392">
        <f>K3+L3</f>
        <v/>
      </c>
      <c r="N3" s="392" t="n">
        <v>0</v>
      </c>
      <c r="O3" s="192" t="n"/>
      <c r="P3" s="146" t="n"/>
    </row>
    <row r="4" ht="17.25" customFormat="1" customHeight="1" s="110">
      <c r="A4" s="267" t="n"/>
      <c r="B4" s="141" t="n"/>
      <c r="C4" s="142" t="n"/>
      <c r="D4" s="499" t="n"/>
      <c r="E4" s="507" t="n"/>
      <c r="F4" s="144" t="n"/>
      <c r="G4" s="144" t="n"/>
      <c r="H4" s="507" t="n"/>
      <c r="I4" s="508" t="n"/>
      <c r="J4" s="404" t="n"/>
      <c r="K4" s="465" t="n"/>
      <c r="L4" s="466" t="n"/>
      <c r="M4" s="392">
        <f>K4+L4</f>
        <v/>
      </c>
      <c r="N4" s="392" t="n">
        <v>0</v>
      </c>
    </row>
    <row r="5" ht="17.25" customFormat="1" customHeight="1" s="110">
      <c r="A5" s="158" t="n"/>
      <c r="B5" s="229" t="n"/>
      <c r="C5" s="177" t="n"/>
      <c r="D5" s="399" t="n"/>
      <c r="E5" s="91" t="n"/>
      <c r="F5" s="111" t="n"/>
      <c r="G5" s="111" t="n"/>
      <c r="H5" s="91" t="n"/>
      <c r="I5" s="389" t="n"/>
      <c r="J5" s="393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158" t="n"/>
      <c r="B6" s="229" t="n"/>
      <c r="C6" s="91" t="n"/>
      <c r="D6" s="99" t="n"/>
      <c r="E6" s="162" t="n"/>
      <c r="F6" s="135" t="n"/>
      <c r="G6" s="135" t="n"/>
      <c r="H6" s="127" t="n"/>
      <c r="I6" s="455" t="n"/>
      <c r="J6" s="455" t="n"/>
      <c r="K6" s="397" t="n"/>
      <c r="L6" s="466" t="n"/>
      <c r="M6" s="392">
        <f>K6+L6</f>
        <v/>
      </c>
      <c r="N6" s="392" t="n">
        <v>0</v>
      </c>
    </row>
    <row r="7" ht="17.25" customFormat="1" customHeight="1" s="110">
      <c r="A7" s="89" t="n"/>
      <c r="B7" s="48" t="n"/>
      <c r="C7" s="91" t="n"/>
      <c r="D7" s="399" t="n"/>
      <c r="E7" s="131" t="n"/>
      <c r="F7" s="40" t="n"/>
      <c r="G7" s="40" t="n"/>
      <c r="H7" s="91" t="n"/>
      <c r="I7" s="393" t="n"/>
      <c r="J7" s="393" t="n"/>
      <c r="K7" s="392" t="n"/>
      <c r="L7" s="391" t="n"/>
      <c r="M7" s="392">
        <f>K7+L7</f>
        <v/>
      </c>
      <c r="N7" s="392" t="n">
        <v>0</v>
      </c>
    </row>
    <row r="8" ht="17.25" customFormat="1" customHeight="1" s="110">
      <c r="A8" s="89" t="n"/>
      <c r="B8" s="48" t="n"/>
      <c r="C8" s="99" t="n"/>
      <c r="D8" s="399" t="n"/>
      <c r="E8" s="91" t="n"/>
      <c r="F8" s="40" t="n"/>
      <c r="G8" s="40" t="n"/>
      <c r="H8" s="39" t="n"/>
      <c r="I8" s="393" t="n"/>
      <c r="J8" s="393" t="n"/>
      <c r="K8" s="392" t="n"/>
      <c r="L8" s="391" t="n"/>
      <c r="M8" s="392">
        <f>K8+L8</f>
        <v/>
      </c>
      <c r="N8" s="392" t="n">
        <v>0</v>
      </c>
    </row>
    <row r="9" ht="17.25" customFormat="1" customHeight="1" s="110">
      <c r="A9" s="45" t="n"/>
      <c r="B9" s="46" t="n"/>
      <c r="C9" s="39" t="n"/>
      <c r="D9" s="3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Format="1" customHeight="1" s="110">
      <c r="A10" s="99" t="n"/>
      <c r="B10" s="98" t="n"/>
      <c r="C10" s="39" t="n"/>
      <c r="D10" s="99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Format="1" customHeight="1" s="110">
      <c r="A11" s="89" t="n"/>
      <c r="B11" s="90" t="n"/>
      <c r="C11" s="39" t="n"/>
      <c r="D11" s="399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89" t="n"/>
      <c r="B12" s="48" t="n"/>
      <c r="C12" s="91" t="n"/>
      <c r="D12" s="448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89" t="n"/>
      <c r="B13" s="48" t="n"/>
      <c r="C13" s="91" t="n"/>
      <c r="D13" s="399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>
      <c r="A14" s="47" t="n"/>
      <c r="B14" s="48" t="n"/>
      <c r="C14" s="39" t="n"/>
      <c r="D14" s="405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>
      <c r="A15" s="45" t="n"/>
      <c r="B15" s="46" t="n"/>
      <c r="C15" s="39" t="n"/>
      <c r="D15" s="399" t="n"/>
      <c r="E15" s="39" t="n"/>
      <c r="F15" s="40" t="n"/>
      <c r="G15" s="40" t="n"/>
      <c r="H15" s="39" t="n"/>
      <c r="I15" s="393" t="n"/>
      <c r="J15" s="404" t="n"/>
      <c r="K15" s="392" t="n"/>
      <c r="L15" s="392" t="n"/>
      <c r="M15" s="400">
        <f>K15+L15</f>
        <v/>
      </c>
      <c r="N15" s="392" t="n">
        <v>0</v>
      </c>
    </row>
    <row r="16">
      <c r="A16" s="1" t="n"/>
      <c r="B16" s="8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427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9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407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38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41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41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38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27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51" t="n"/>
      <c r="B38" s="62" t="n"/>
      <c r="C38" s="53" t="n"/>
      <c r="D38" s="381" t="n"/>
      <c r="E38" s="53" t="n"/>
      <c r="F38" s="62" t="n"/>
      <c r="G38" s="62" t="n"/>
      <c r="H38" s="53" t="n"/>
      <c r="I38" s="403" t="n"/>
      <c r="J38" s="406" t="n"/>
      <c r="K38" s="400" t="n"/>
      <c r="L38" s="400" t="n"/>
      <c r="M38" s="400">
        <f>K38+L38</f>
        <v/>
      </c>
      <c r="N38" s="390" t="n">
        <v>0</v>
      </c>
    </row>
    <row r="39">
      <c r="A39" s="20" t="n"/>
      <c r="B39" s="21" t="n"/>
      <c r="C39" s="22" t="n"/>
      <c r="D39" s="21" t="n"/>
      <c r="E39" s="34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422" t="n"/>
    </row>
    <row r="40">
      <c r="A40" s="20" t="n"/>
      <c r="B40" s="21" t="n"/>
      <c r="C40" s="22" t="n"/>
      <c r="D40" s="21" t="n"/>
      <c r="E40" s="34" t="n"/>
      <c r="F40" s="21" t="n"/>
      <c r="G40" s="21" t="n"/>
      <c r="H40" s="21" t="n"/>
      <c r="I40" s="416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0" t="n"/>
      <c r="B41" s="21" t="n"/>
      <c r="C41" s="22" t="n"/>
      <c r="D41" s="21" t="n"/>
      <c r="E41" s="34" t="n"/>
      <c r="F41" s="21" t="n"/>
      <c r="G41" s="21" t="n"/>
      <c r="H41" s="21" t="n"/>
      <c r="J41" s="420" t="n"/>
      <c r="K41" s="421" t="n"/>
      <c r="L41" s="421" t="n"/>
    </row>
    <row r="42">
      <c r="A42" s="20" t="n"/>
      <c r="B42" s="21" t="n"/>
      <c r="C42" s="22" t="n"/>
      <c r="D42" s="21" t="n"/>
      <c r="E42" s="34" t="n"/>
      <c r="F42" s="21" t="n"/>
      <c r="G42" s="21" t="n"/>
      <c r="H42" s="21" t="n"/>
      <c r="J42" s="420" t="n"/>
      <c r="K42" s="421" t="n"/>
      <c r="L42" s="421" t="n"/>
      <c r="M42" s="424" t="n"/>
    </row>
    <row r="43">
      <c r="A43" s="20" t="n"/>
      <c r="B43" s="21" t="n"/>
      <c r="C43" s="22" t="n"/>
      <c r="D43" s="21" t="n"/>
      <c r="E43" s="34" t="n"/>
      <c r="F43" s="21" t="n"/>
      <c r="G43" s="21" t="n"/>
      <c r="H43" s="21" t="n"/>
      <c r="J43" s="420" t="n"/>
      <c r="K43" s="421" t="n"/>
      <c r="L43" s="421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  <row r="135">
      <c r="C135" s="30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33"/>
  <sheetViews>
    <sheetView zoomScale="60" zoomScaleNormal="60" workbookViewId="0">
      <selection activeCell="N2" sqref="N2:N17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48">
      <c r="A2" s="89" t="n"/>
      <c r="B2" s="90" t="n"/>
      <c r="C2" s="99" t="n"/>
      <c r="D2" s="487" t="n"/>
      <c r="E2" s="39" t="n"/>
      <c r="F2" s="40" t="n"/>
      <c r="G2" s="40" t="n"/>
      <c r="H2" s="39" t="n"/>
      <c r="I2" s="393" t="n"/>
      <c r="J2" s="395" t="n"/>
      <c r="K2" s="396" t="n"/>
      <c r="L2" s="429" t="n"/>
      <c r="M2" s="392">
        <f>K2+L2</f>
        <v/>
      </c>
      <c r="N2" s="392" t="n">
        <v>0</v>
      </c>
    </row>
    <row r="3" ht="17.25" customFormat="1" customHeight="1" s="148">
      <c r="A3" s="89" t="n"/>
      <c r="B3" s="90" t="n"/>
      <c r="C3" s="99" t="n"/>
      <c r="D3" s="399" t="n"/>
      <c r="E3" s="39" t="n"/>
      <c r="F3" s="40" t="n"/>
      <c r="G3" s="40" t="n"/>
      <c r="H3" s="39" t="n"/>
      <c r="I3" s="393" t="n"/>
      <c r="J3" s="393" t="n"/>
      <c r="K3" s="392" t="n"/>
      <c r="L3" s="391" t="n"/>
      <c r="M3" s="392">
        <f>K3+L3</f>
        <v/>
      </c>
      <c r="N3" s="392" t="n">
        <v>0</v>
      </c>
    </row>
    <row r="4" ht="17.25" customFormat="1" customHeight="1" s="148">
      <c r="A4" s="89" t="n"/>
      <c r="B4" s="90" t="n"/>
      <c r="C4" s="99" t="n"/>
      <c r="D4" s="399" t="n"/>
      <c r="E4" s="39" t="n"/>
      <c r="F4" s="40" t="n"/>
      <c r="G4" s="40" t="n"/>
      <c r="H4" s="39" t="n"/>
      <c r="I4" s="393" t="n"/>
      <c r="J4" s="393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89" t="n"/>
      <c r="B5" s="48" t="n"/>
      <c r="C5" s="91" t="n"/>
      <c r="D5" s="402" t="n"/>
      <c r="E5" s="39" t="n"/>
      <c r="F5" s="40" t="n"/>
      <c r="G5" s="40" t="n"/>
      <c r="H5" s="39" t="n"/>
      <c r="I5" s="393" t="n"/>
      <c r="J5" s="404" t="n"/>
      <c r="K5" s="392" t="n"/>
      <c r="L5" s="391" t="n"/>
      <c r="M5" s="392">
        <f>K5+L5</f>
        <v/>
      </c>
      <c r="N5" s="392" t="n">
        <v>0</v>
      </c>
    </row>
    <row r="6" ht="17.25" customHeight="1" s="374">
      <c r="A6" s="89" t="n"/>
      <c r="B6" s="90" t="n"/>
      <c r="C6" s="99" t="n"/>
      <c r="D6" s="399" t="n"/>
      <c r="E6" s="39" t="n"/>
      <c r="F6" s="40" t="n"/>
      <c r="G6" s="40" t="n"/>
      <c r="H6" s="39" t="n"/>
      <c r="I6" s="393" t="n"/>
      <c r="J6" s="404" t="n"/>
      <c r="K6" s="392" t="n"/>
      <c r="L6" s="391" t="n"/>
      <c r="M6" s="392">
        <f>K6+L6</f>
        <v/>
      </c>
      <c r="N6" s="392" t="n">
        <v>0</v>
      </c>
    </row>
    <row r="7" ht="17.25" customHeight="1" s="374">
      <c r="A7" s="89" t="n"/>
      <c r="B7" s="90" t="n"/>
      <c r="C7" s="99" t="n"/>
      <c r="D7" s="399" t="n"/>
      <c r="E7" s="39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Height="1" s="374">
      <c r="A8" s="89" t="n"/>
      <c r="B8" s="90" t="n"/>
      <c r="C8" s="99" t="n"/>
      <c r="D8" s="399" t="n"/>
      <c r="E8" s="39" t="n"/>
      <c r="F8" s="40" t="n"/>
      <c r="G8" s="40" t="n"/>
      <c r="H8" s="39" t="n"/>
      <c r="I8" s="393" t="n"/>
      <c r="J8" s="404" t="n"/>
      <c r="K8" s="392" t="n"/>
      <c r="L8" s="391" t="n"/>
      <c r="M8" s="392">
        <f>K8+L8</f>
        <v/>
      </c>
      <c r="N8" s="392" t="n">
        <v>0</v>
      </c>
    </row>
    <row r="9" ht="17.25" customHeight="1" s="374">
      <c r="A9" s="89" t="n"/>
      <c r="B9" s="90" t="n"/>
      <c r="C9" s="9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89" t="n"/>
      <c r="B10" s="90" t="n"/>
      <c r="C10" s="99" t="n"/>
      <c r="D10" s="399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90" t="n"/>
      <c r="C11" s="99" t="n"/>
      <c r="D11" s="399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392">
        <f>K11+L11</f>
        <v/>
      </c>
      <c r="N11" s="392" t="n">
        <v>0</v>
      </c>
    </row>
    <row r="12">
      <c r="A12" s="47" t="n"/>
      <c r="B12" s="48" t="n"/>
      <c r="C12" s="39" t="n"/>
      <c r="D12" s="405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400">
        <f>K12+L12</f>
        <v/>
      </c>
      <c r="N12" s="392" t="n">
        <v>0</v>
      </c>
    </row>
    <row r="13">
      <c r="A13" s="45" t="n"/>
      <c r="B13" s="46" t="n"/>
      <c r="C13" s="39" t="n"/>
      <c r="D13" s="399" t="n"/>
      <c r="E13" s="39" t="n"/>
      <c r="F13" s="40" t="n"/>
      <c r="G13" s="40" t="n"/>
      <c r="H13" s="39" t="n"/>
      <c r="I13" s="393" t="n"/>
      <c r="J13" s="404" t="n"/>
      <c r="K13" s="392" t="n"/>
      <c r="L13" s="392" t="n"/>
      <c r="M13" s="400">
        <f>K13+L13</f>
        <v/>
      </c>
      <c r="N13" s="392" t="n">
        <v>0</v>
      </c>
    </row>
    <row r="14">
      <c r="A14" s="1" t="n"/>
      <c r="B14" s="8" t="n"/>
      <c r="C14" s="53" t="n"/>
      <c r="D14" s="381" t="n"/>
      <c r="E14" s="53" t="n"/>
      <c r="F14" s="61" t="n"/>
      <c r="G14" s="61" t="n"/>
      <c r="H14" s="53" t="n"/>
      <c r="I14" s="403" t="n"/>
      <c r="J14" s="406" t="n"/>
      <c r="K14" s="400" t="n"/>
      <c r="L14" s="400" t="n"/>
      <c r="M14" s="400">
        <f>K14+L14</f>
        <v/>
      </c>
      <c r="N14" s="392" t="n">
        <v>0</v>
      </c>
    </row>
    <row r="15">
      <c r="A15" s="51" t="n"/>
      <c r="B15" s="62" t="n"/>
      <c r="C15" s="53" t="n"/>
      <c r="D15" s="381" t="n"/>
      <c r="E15" s="53" t="n"/>
      <c r="F15" s="61" t="n"/>
      <c r="G15" s="61" t="n"/>
      <c r="H15" s="53" t="n"/>
      <c r="I15" s="403" t="n"/>
      <c r="J15" s="406" t="n"/>
      <c r="K15" s="400" t="n"/>
      <c r="L15" s="400" t="n"/>
      <c r="M15" s="400">
        <f>K15+L15</f>
        <v/>
      </c>
      <c r="N15" s="392" t="n">
        <v>0</v>
      </c>
    </row>
    <row r="16">
      <c r="A16" s="51" t="n"/>
      <c r="B16" s="62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407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53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427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9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407" t="n"/>
      <c r="E27" s="10" t="n"/>
      <c r="F27" s="61" t="n"/>
      <c r="G27" s="61" t="n"/>
      <c r="H27" s="10" t="n"/>
      <c r="I27" s="412" t="n"/>
      <c r="J27" s="409" t="n"/>
      <c r="K27" s="410" t="n"/>
      <c r="L27" s="410" t="n"/>
      <c r="M27" s="400">
        <f>K27+L27</f>
        <v/>
      </c>
      <c r="N27" s="392" t="n">
        <v>0</v>
      </c>
    </row>
    <row r="28">
      <c r="A28" s="14" t="n"/>
      <c r="B28" s="15" t="n"/>
      <c r="C28" s="10" t="n"/>
      <c r="D28" s="381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14" t="n"/>
      <c r="B29" s="15" t="n"/>
      <c r="C29" s="10" t="n"/>
      <c r="D29" s="411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41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38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7" t="n"/>
      <c r="B32" s="18" t="n"/>
      <c r="C32" s="10" t="n"/>
      <c r="D32" s="402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7" t="n"/>
      <c r="B33" s="18" t="n"/>
      <c r="C33" s="10" t="n"/>
      <c r="D33" s="402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427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0" t="n">
        <v>0</v>
      </c>
    </row>
    <row r="36">
      <c r="A36" s="14" t="n"/>
      <c r="B36" s="15" t="n"/>
      <c r="C36" s="53" t="n"/>
      <c r="D36" s="427" t="n"/>
      <c r="E36" s="53" t="n"/>
      <c r="F36" s="62" t="n"/>
      <c r="G36" s="62" t="n"/>
      <c r="H36" s="53" t="n"/>
      <c r="I36" s="403" t="n"/>
      <c r="J36" s="406" t="n"/>
      <c r="K36" s="400" t="n"/>
      <c r="L36" s="400" t="n"/>
      <c r="M36" s="435">
        <f>K36+L36</f>
        <v/>
      </c>
      <c r="N36" s="504" t="n">
        <v>0</v>
      </c>
    </row>
    <row r="37">
      <c r="A37" s="20" t="n"/>
      <c r="B37" s="21" t="n"/>
      <c r="C37" s="22" t="n"/>
      <c r="D37" s="21" t="n"/>
      <c r="E37" s="21" t="n"/>
      <c r="F37" s="21" t="n"/>
      <c r="G37" s="21" t="n"/>
      <c r="H37" s="21" t="n"/>
      <c r="I37" s="416" t="n"/>
      <c r="J37" s="420" t="n"/>
      <c r="K37" s="421" t="n"/>
      <c r="L37" s="421" t="n"/>
      <c r="M37" s="421" t="n"/>
      <c r="N37" s="422" t="n"/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20" t="n"/>
      <c r="K38" s="421" t="n"/>
      <c r="L38" s="421" t="n"/>
      <c r="M38" s="421" t="n"/>
      <c r="N38" s="42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  <c r="N39" s="42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SUM(M2:M37)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37"/>
  <sheetViews>
    <sheetView zoomScale="62" zoomScaleNormal="62" workbookViewId="0">
      <selection activeCell="N2" sqref="N2:N14"/>
    </sheetView>
  </sheetViews>
  <sheetFormatPr baseColWidth="8" defaultColWidth="8.77734375" defaultRowHeight="16.2"/>
  <cols>
    <col width="9" customWidth="1" style="29" min="1" max="1"/>
    <col width="58" customWidth="1" style="374" min="3" max="3"/>
    <col width="27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67" t="inlineStr">
        <is>
          <t>Ord No.</t>
        </is>
      </c>
      <c r="B1" s="68" t="inlineStr">
        <is>
          <t>Time</t>
        </is>
      </c>
      <c r="C1" s="68" t="inlineStr">
        <is>
          <t>Trip</t>
        </is>
      </c>
      <c r="D1" s="44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34">
      <c r="A2" s="89" t="n"/>
      <c r="B2" s="90" t="n"/>
      <c r="C2" s="99" t="n"/>
      <c r="D2" s="399" t="n"/>
      <c r="E2" s="102" t="n"/>
      <c r="F2" s="40" t="n"/>
      <c r="G2" s="40" t="n"/>
      <c r="H2" s="39" t="n"/>
      <c r="I2" s="393" t="n"/>
      <c r="J2" s="393" t="n"/>
      <c r="K2" s="392" t="n"/>
      <c r="L2" s="391" t="n"/>
      <c r="M2" s="392">
        <f>K2+L2</f>
        <v/>
      </c>
      <c r="N2" s="392" t="n">
        <v>0</v>
      </c>
      <c r="O2" s="146" t="n"/>
      <c r="P2" s="146" t="n"/>
    </row>
    <row r="3" ht="17.25" customFormat="1" customHeight="1" s="134">
      <c r="A3" s="89" t="n"/>
      <c r="B3" s="90" t="n"/>
      <c r="C3" s="99" t="n"/>
      <c r="D3" s="447" t="n"/>
      <c r="E3" s="102" t="n"/>
      <c r="F3" s="40" t="n"/>
      <c r="G3" s="40" t="n"/>
      <c r="H3" s="39" t="n"/>
      <c r="I3" s="393" t="n"/>
      <c r="J3" s="393" t="n"/>
      <c r="K3" s="392" t="n"/>
      <c r="L3" s="391" t="n"/>
      <c r="M3" s="392">
        <f>K3+L3</f>
        <v/>
      </c>
      <c r="N3" s="392" t="n">
        <v>0</v>
      </c>
      <c r="O3" s="146" t="n"/>
      <c r="P3" s="146" t="n"/>
    </row>
    <row r="4" ht="17.25" customFormat="1" customHeight="1" s="134">
      <c r="A4" s="89" t="n"/>
      <c r="B4" s="90" t="n"/>
      <c r="C4" s="99" t="n"/>
      <c r="D4" s="447" t="n"/>
      <c r="E4" s="102" t="n"/>
      <c r="F4" s="40" t="n"/>
      <c r="G4" s="40" t="n"/>
      <c r="H4" s="39" t="n"/>
      <c r="I4" s="393" t="n"/>
      <c r="J4" s="393" t="n"/>
      <c r="K4" s="392" t="n"/>
      <c r="L4" s="391" t="n"/>
      <c r="M4" s="392">
        <f>K4+L4</f>
        <v/>
      </c>
      <c r="N4" s="392" t="n">
        <v>0</v>
      </c>
      <c r="O4" s="146" t="n"/>
      <c r="P4" s="146" t="n"/>
    </row>
    <row r="5" ht="17.25" customFormat="1" customHeight="1" s="134">
      <c r="A5" s="89" t="n"/>
      <c r="B5" s="90" t="n"/>
      <c r="C5" s="99" t="n"/>
      <c r="D5" s="447" t="n"/>
      <c r="E5" s="102" t="n"/>
      <c r="F5" s="40" t="n"/>
      <c r="G5" s="40" t="n"/>
      <c r="H5" s="39" t="n"/>
      <c r="I5" s="393" t="n"/>
      <c r="J5" s="393" t="n"/>
      <c r="K5" s="392" t="n"/>
      <c r="L5" s="391" t="n"/>
      <c r="M5" s="392">
        <f>K5+L5</f>
        <v/>
      </c>
      <c r="N5" s="392" t="n">
        <v>0</v>
      </c>
      <c r="O5" s="146" t="n"/>
      <c r="P5" s="146" t="n"/>
    </row>
    <row r="6" ht="17.25" customFormat="1" customHeight="1" s="134">
      <c r="A6" s="89" t="n"/>
      <c r="B6" s="90" t="n"/>
      <c r="C6" s="99" t="n"/>
      <c r="D6" s="399" t="n"/>
      <c r="E6" s="102" t="n"/>
      <c r="F6" s="40" t="n"/>
      <c r="G6" s="40" t="n"/>
      <c r="H6" s="39" t="n"/>
      <c r="I6" s="393" t="n"/>
      <c r="J6" s="393" t="n"/>
      <c r="K6" s="392" t="n"/>
      <c r="L6" s="391" t="n"/>
      <c r="M6" s="392">
        <f>K6+L6</f>
        <v/>
      </c>
      <c r="N6" s="392" t="n">
        <v>0</v>
      </c>
      <c r="O6" s="146" t="n"/>
      <c r="P6" s="146" t="n"/>
    </row>
    <row r="7" ht="17.25" customFormat="1" customHeight="1" s="110">
      <c r="A7" s="89" t="n"/>
      <c r="B7" s="90" t="n"/>
      <c r="C7" s="99" t="n"/>
      <c r="D7" s="399" t="n"/>
      <c r="E7" s="102" t="n"/>
      <c r="F7" s="40" t="n"/>
      <c r="G7" s="40" t="n"/>
      <c r="H7" s="39" t="n"/>
      <c r="I7" s="393" t="n"/>
      <c r="J7" s="393" t="n"/>
      <c r="K7" s="392" t="n"/>
      <c r="L7" s="391" t="n"/>
      <c r="M7" s="392">
        <f>K7+L7</f>
        <v/>
      </c>
      <c r="N7" s="392" t="n">
        <v>0</v>
      </c>
      <c r="O7" s="146" t="n"/>
      <c r="P7" s="146" t="n"/>
    </row>
    <row r="8" ht="17.25" customFormat="1" customHeight="1" s="110">
      <c r="A8" s="89" t="n"/>
      <c r="B8" s="90" t="n"/>
      <c r="C8" s="99" t="n"/>
      <c r="D8" s="399" t="n"/>
      <c r="E8" s="39" t="n"/>
      <c r="F8" s="40" t="n"/>
      <c r="G8" s="40" t="n"/>
      <c r="H8" s="39" t="n"/>
      <c r="I8" s="393" t="n"/>
      <c r="J8" s="393" t="n"/>
      <c r="K8" s="392" t="n"/>
      <c r="L8" s="391" t="n"/>
      <c r="M8" s="392">
        <f>K8+L8</f>
        <v/>
      </c>
      <c r="N8" s="392" t="n">
        <v>0</v>
      </c>
    </row>
    <row r="9" ht="17.25" customFormat="1" customHeight="1" s="110">
      <c r="A9" s="89" t="n"/>
      <c r="B9" s="90" t="n"/>
      <c r="C9" s="99" t="n"/>
      <c r="D9" s="399" t="n"/>
      <c r="E9" s="39" t="n"/>
      <c r="F9" s="40" t="n"/>
      <c r="G9" s="40" t="n"/>
      <c r="H9" s="39" t="n"/>
      <c r="I9" s="393" t="n"/>
      <c r="J9" s="393" t="n"/>
      <c r="K9" s="392" t="n"/>
      <c r="L9" s="391" t="n"/>
      <c r="M9" s="392">
        <f>K9+L9</f>
        <v/>
      </c>
      <c r="N9" s="392" t="n">
        <v>0</v>
      </c>
    </row>
    <row r="10" ht="17.25" customFormat="1" customHeight="1" s="6">
      <c r="A10" s="89" t="n"/>
      <c r="B10" s="90" t="n"/>
      <c r="C10" s="99" t="n"/>
      <c r="D10" s="399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 ht="17.25" customFormat="1" customHeight="1" s="6">
      <c r="A11" s="89" t="n"/>
      <c r="B11" s="90" t="n"/>
      <c r="C11" s="99" t="n"/>
      <c r="D11" s="399" t="n"/>
      <c r="E11" s="127" t="n"/>
      <c r="F11" s="40" t="n"/>
      <c r="G11" s="40" t="n"/>
      <c r="H11" s="127" t="n"/>
      <c r="I11" s="455" t="n"/>
      <c r="J11" s="404" t="n"/>
      <c r="K11" s="392" t="n"/>
      <c r="L11" s="391" t="n"/>
      <c r="M11" s="392">
        <f>K11+L11</f>
        <v/>
      </c>
      <c r="N11" s="392" t="n">
        <v>0</v>
      </c>
    </row>
    <row r="12" ht="17.25" customFormat="1" customHeight="1" s="6">
      <c r="A12" s="89" t="n"/>
      <c r="B12" s="90" t="n"/>
      <c r="C12" s="99" t="n"/>
      <c r="D12" s="399" t="n"/>
      <c r="E12" s="127" t="n"/>
      <c r="F12" s="128" t="n"/>
      <c r="G12" s="128" t="n"/>
      <c r="H12" s="127" t="n"/>
      <c r="I12" s="455" t="n"/>
      <c r="J12" s="393" t="n"/>
      <c r="K12" s="392" t="n"/>
      <c r="L12" s="391" t="n"/>
      <c r="M12" s="392">
        <f>K12+L12</f>
        <v/>
      </c>
      <c r="N12" s="392" t="n">
        <v>0</v>
      </c>
    </row>
    <row r="13" ht="17.25" customFormat="1" customHeight="1" s="6">
      <c r="A13" s="89" t="n"/>
      <c r="B13" s="48" t="n"/>
      <c r="C13" s="99" t="n"/>
      <c r="D13" s="399" t="n"/>
      <c r="E13" s="127" t="n"/>
      <c r="F13" s="128" t="n"/>
      <c r="G13" s="128" t="n"/>
      <c r="H13" s="509" t="n"/>
      <c r="I13" s="455" t="n"/>
      <c r="J13" s="404" t="n"/>
      <c r="K13" s="392" t="n"/>
      <c r="L13" s="391" t="n"/>
      <c r="M13" s="392">
        <f>K13+L13</f>
        <v/>
      </c>
      <c r="N13" s="392" t="n">
        <v>0</v>
      </c>
    </row>
    <row r="14" ht="17.25" customFormat="1" customHeight="1" s="6">
      <c r="A14" s="89" t="n"/>
      <c r="B14" s="48" t="n"/>
      <c r="C14" s="99" t="n"/>
      <c r="D14" s="399" t="n"/>
      <c r="E14" s="39" t="n"/>
      <c r="F14" s="40" t="n"/>
      <c r="G14" s="40" t="n"/>
      <c r="H14" s="398" t="n"/>
      <c r="I14" s="393" t="n"/>
      <c r="J14" s="404" t="n"/>
      <c r="K14" s="392" t="n"/>
      <c r="L14" s="391" t="n"/>
      <c r="M14" s="392">
        <f>K14+L14</f>
        <v/>
      </c>
      <c r="N14" s="392" t="n">
        <v>0</v>
      </c>
    </row>
    <row r="15" ht="15.75" customFormat="1" customHeight="1" s="6">
      <c r="A15" s="1" t="n"/>
      <c r="B15" s="52" t="n"/>
      <c r="C15" s="53" t="n"/>
      <c r="D15" s="402" t="n"/>
      <c r="E15" s="53" t="n"/>
      <c r="F15" s="54" t="n"/>
      <c r="G15" s="54" t="n"/>
      <c r="H15" s="53" t="n"/>
      <c r="I15" s="403" t="n"/>
      <c r="J15" s="406" t="n"/>
      <c r="K15" s="400" t="n"/>
      <c r="L15" s="435" t="n"/>
      <c r="M15" s="400">
        <f>K15+L15</f>
        <v/>
      </c>
      <c r="N15" s="392" t="n">
        <v>0</v>
      </c>
    </row>
    <row r="16" ht="15.75" customFormat="1" customHeight="1" s="6">
      <c r="A16" s="255" t="n"/>
      <c r="B16" s="52" t="n"/>
      <c r="C16" s="53" t="n"/>
      <c r="D16" s="402" t="n"/>
      <c r="E16" s="53" t="n"/>
      <c r="F16" s="54" t="n"/>
      <c r="G16" s="54" t="n"/>
      <c r="H16" s="53" t="n"/>
      <c r="I16" s="403" t="n"/>
      <c r="J16" s="406" t="n"/>
      <c r="K16" s="400" t="n"/>
      <c r="L16" s="435" t="n"/>
      <c r="M16" s="400">
        <f>K16+L16</f>
        <v/>
      </c>
      <c r="N16" s="392" t="n">
        <v>0</v>
      </c>
    </row>
    <row r="17" ht="15.75" customHeight="1" s="374">
      <c r="A17" s="1" t="n"/>
      <c r="B17" s="52" t="n"/>
      <c r="C17" s="53" t="n"/>
      <c r="D17" s="402" t="n"/>
      <c r="E17" s="53" t="n"/>
      <c r="F17" s="54" t="n"/>
      <c r="G17" s="54" t="n"/>
      <c r="H17" s="53" t="n"/>
      <c r="I17" s="403" t="n"/>
      <c r="J17" s="406" t="n"/>
      <c r="K17" s="400" t="n"/>
      <c r="L17" s="435" t="n"/>
      <c r="M17" s="400">
        <f>K17+L17</f>
        <v/>
      </c>
      <c r="N17" s="392" t="n">
        <v>0</v>
      </c>
    </row>
    <row r="18" ht="15.75" customHeight="1" s="374">
      <c r="A18" s="255" t="n"/>
      <c r="B18" s="52" t="n"/>
      <c r="C18" s="53" t="n"/>
      <c r="D18" s="402" t="n"/>
      <c r="E18" s="53" t="n"/>
      <c r="F18" s="54" t="n"/>
      <c r="G18" s="54" t="n"/>
      <c r="H18" s="408" t="n"/>
      <c r="I18" s="403" t="n"/>
      <c r="J18" s="406" t="n"/>
      <c r="K18" s="400" t="n"/>
      <c r="L18" s="435" t="n"/>
      <c r="M18" s="400">
        <f>K18+L18</f>
        <v/>
      </c>
      <c r="N18" s="392" t="n">
        <v>0</v>
      </c>
    </row>
    <row r="19" ht="15.75" customHeight="1" s="374">
      <c r="A19" s="1" t="n"/>
      <c r="B19" s="52" t="n"/>
      <c r="C19" s="53" t="n"/>
      <c r="D19" s="402" t="n"/>
      <c r="E19" s="53" t="n"/>
      <c r="F19" s="54" t="n"/>
      <c r="G19" s="54" t="n"/>
      <c r="H19" s="53" t="n"/>
      <c r="I19" s="403" t="n"/>
      <c r="J19" s="406" t="n"/>
      <c r="K19" s="400" t="n"/>
      <c r="L19" s="435" t="n"/>
      <c r="M19" s="400">
        <f>K19+L19</f>
        <v/>
      </c>
      <c r="N19" s="392" t="n">
        <v>0</v>
      </c>
    </row>
    <row r="20" ht="15.75" customHeight="1" s="374">
      <c r="A20" s="190" t="n"/>
      <c r="B20" s="48" t="n"/>
      <c r="C20" s="39" t="n"/>
      <c r="D20" s="399" t="n"/>
      <c r="E20" s="39" t="n"/>
      <c r="F20" s="40" t="n"/>
      <c r="G20" s="40" t="n"/>
      <c r="H20" s="39" t="n"/>
      <c r="I20" s="393" t="n"/>
      <c r="J20" s="404" t="n"/>
      <c r="K20" s="392" t="n"/>
      <c r="L20" s="391" t="n"/>
      <c r="M20" s="400">
        <f>K20+L20</f>
        <v/>
      </c>
      <c r="N20" s="392" t="n">
        <v>0</v>
      </c>
    </row>
    <row r="21" ht="15.75" customHeight="1" s="374">
      <c r="A21" s="190" t="n"/>
      <c r="B21" s="46" t="n"/>
      <c r="C21" s="39" t="n"/>
      <c r="D21" s="405" t="n"/>
      <c r="E21" s="39" t="n"/>
      <c r="F21" s="40" t="n"/>
      <c r="G21" s="40" t="n"/>
      <c r="H21" s="39" t="n"/>
      <c r="I21" s="393" t="n"/>
      <c r="J21" s="404" t="n"/>
      <c r="K21" s="392" t="n"/>
      <c r="L21" s="391" t="n"/>
      <c r="M21" s="400">
        <f>K21+L21</f>
        <v/>
      </c>
      <c r="N21" s="392" t="n">
        <v>0</v>
      </c>
    </row>
    <row r="22" ht="15.75" customHeight="1" s="374">
      <c r="A22" s="89" t="n"/>
      <c r="B22" s="48" t="n"/>
      <c r="C22" s="39" t="n"/>
      <c r="D22" s="405" t="n"/>
      <c r="E22" s="39" t="n"/>
      <c r="F22" s="40" t="n"/>
      <c r="G22" s="40" t="n"/>
      <c r="H22" s="39" t="n"/>
      <c r="I22" s="393" t="n"/>
      <c r="J22" s="404" t="n"/>
      <c r="K22" s="392" t="n"/>
      <c r="L22" s="391" t="n"/>
      <c r="M22" s="400">
        <f>K22+L22</f>
        <v/>
      </c>
      <c r="N22" s="392" t="n">
        <v>0</v>
      </c>
    </row>
    <row r="23" ht="15.75" customHeight="1" s="374">
      <c r="A23" s="190" t="n"/>
      <c r="B23" s="46" t="n"/>
      <c r="C23" s="39" t="n"/>
      <c r="D23" s="399" t="n"/>
      <c r="E23" s="39" t="n"/>
      <c r="F23" s="40" t="n"/>
      <c r="G23" s="40" t="n"/>
      <c r="H23" s="39" t="n"/>
      <c r="I23" s="393" t="n"/>
      <c r="J23" s="404" t="n"/>
      <c r="K23" s="392" t="n"/>
      <c r="L23" s="392" t="n"/>
      <c r="M23" s="400">
        <f>K23+L23</f>
        <v/>
      </c>
      <c r="N23" s="392" t="n">
        <v>0</v>
      </c>
    </row>
    <row r="24" ht="15.75" customHeight="1" s="374">
      <c r="A24" s="1" t="n"/>
      <c r="B24" s="8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255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255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255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255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255" t="n"/>
      <c r="B29" s="62" t="n"/>
      <c r="C29" s="53" t="n"/>
      <c r="D29" s="407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255" t="n"/>
      <c r="B30" s="62" t="n"/>
      <c r="C30" s="53" t="n"/>
      <c r="D30" s="53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255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255" t="n"/>
      <c r="B32" s="62" t="n"/>
      <c r="C32" s="53" t="n"/>
      <c r="D32" s="427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255" t="n"/>
      <c r="B33" s="62" t="n"/>
      <c r="C33" s="53" t="n"/>
      <c r="D33" s="381" t="n"/>
      <c r="E33" s="53" t="n"/>
      <c r="F33" s="61" t="n"/>
      <c r="G33" s="61" t="n"/>
      <c r="H33" s="53" t="n"/>
      <c r="I33" s="403" t="n"/>
      <c r="J33" s="406" t="n"/>
      <c r="K33" s="400" t="n"/>
      <c r="L33" s="400" t="n"/>
      <c r="M33" s="400">
        <f>K33+L33</f>
        <v/>
      </c>
      <c r="N33" s="392" t="n">
        <v>0</v>
      </c>
    </row>
    <row r="34">
      <c r="A34" s="255" t="n"/>
      <c r="B34" s="62" t="n"/>
      <c r="C34" s="53" t="n"/>
      <c r="D34" s="9" t="n"/>
      <c r="E34" s="53" t="n"/>
      <c r="F34" s="61" t="n"/>
      <c r="G34" s="61" t="n"/>
      <c r="H34" s="53" t="n"/>
      <c r="I34" s="403" t="n"/>
      <c r="J34" s="406" t="n"/>
      <c r="K34" s="400" t="n"/>
      <c r="L34" s="400" t="n"/>
      <c r="M34" s="400">
        <f>K34+L34</f>
        <v/>
      </c>
      <c r="N34" s="392" t="n">
        <v>0</v>
      </c>
    </row>
    <row r="35">
      <c r="A35" s="255" t="n"/>
      <c r="B35" s="62" t="n"/>
      <c r="C35" s="53" t="n"/>
      <c r="D35" s="381" t="n"/>
      <c r="E35" s="53" t="n"/>
      <c r="F35" s="61" t="n"/>
      <c r="G35" s="61" t="n"/>
      <c r="H35" s="53" t="n"/>
      <c r="I35" s="403" t="n"/>
      <c r="J35" s="406" t="n"/>
      <c r="K35" s="400" t="n"/>
      <c r="L35" s="400" t="n"/>
      <c r="M35" s="400">
        <f>K35+L35</f>
        <v/>
      </c>
      <c r="N35" s="392" t="n">
        <v>0</v>
      </c>
    </row>
    <row r="36">
      <c r="A36" s="255" t="n"/>
      <c r="B36" s="62" t="n"/>
      <c r="C36" s="53" t="n"/>
      <c r="D36" s="381" t="n"/>
      <c r="E36" s="53" t="n"/>
      <c r="F36" s="61" t="n"/>
      <c r="G36" s="61" t="n"/>
      <c r="H36" s="53" t="n"/>
      <c r="I36" s="403" t="n"/>
      <c r="J36" s="406" t="n"/>
      <c r="K36" s="400" t="n"/>
      <c r="L36" s="400" t="n"/>
      <c r="M36" s="400">
        <f>K36+L36</f>
        <v/>
      </c>
      <c r="N36" s="392" t="n">
        <v>0</v>
      </c>
    </row>
    <row r="37">
      <c r="A37" s="255" t="n"/>
      <c r="B37" s="62" t="n"/>
      <c r="C37" s="53" t="n"/>
      <c r="D37" s="407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1" t="n"/>
      <c r="B39" s="18" t="n"/>
      <c r="C39" s="10" t="n"/>
      <c r="D39" s="402" t="n"/>
      <c r="E39" s="10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0" t="n">
        <v>0</v>
      </c>
    </row>
    <row r="40">
      <c r="A40" s="256" t="n"/>
      <c r="B40" s="21" t="n"/>
      <c r="C40" s="22" t="n"/>
      <c r="D40" s="21" t="n"/>
      <c r="E40" s="21" t="n"/>
      <c r="F40" s="21" t="n"/>
      <c r="G40" s="21" t="n"/>
      <c r="H40" s="21" t="n"/>
      <c r="I40" s="416" t="n"/>
      <c r="J40" s="420" t="n"/>
      <c r="K40" s="421" t="n"/>
      <c r="L40" s="421" t="n"/>
      <c r="M40" s="423">
        <f>SUM(M2:M39)</f>
        <v/>
      </c>
      <c r="N40" s="423">
        <f>SUM(N2:N39)</f>
        <v/>
      </c>
    </row>
    <row r="41">
      <c r="A41" s="256" t="n"/>
      <c r="B41" s="21" t="n"/>
      <c r="C41" s="22" t="n"/>
      <c r="D41" s="21" t="n"/>
      <c r="E41" s="21" t="n"/>
      <c r="F41" s="21" t="n"/>
      <c r="G41" s="21" t="n"/>
      <c r="H41" s="21" t="n"/>
      <c r="I41" s="416" t="n"/>
      <c r="J41" s="420" t="n"/>
      <c r="K41" s="421" t="n"/>
      <c r="L41" s="421" t="n"/>
      <c r="M41" s="421" t="n"/>
      <c r="N41" s="422" t="n"/>
    </row>
    <row r="42">
      <c r="A42" s="256" t="n"/>
      <c r="B42" s="21" t="n"/>
      <c r="C42" s="22" t="n"/>
      <c r="D42" s="21" t="n"/>
      <c r="E42" s="21" t="n"/>
      <c r="F42" s="21" t="n"/>
      <c r="G42" s="21" t="n"/>
      <c r="H42" s="21" t="n"/>
      <c r="I42" s="416" t="n"/>
      <c r="J42" s="420" t="n"/>
      <c r="K42" s="421" t="n"/>
      <c r="L42" s="421" t="n"/>
      <c r="M42" s="421" t="n"/>
      <c r="N42" s="422" t="n"/>
    </row>
    <row r="43">
      <c r="A43" s="256" t="n"/>
      <c r="B43" s="21" t="n"/>
      <c r="C43" s="22" t="n"/>
      <c r="D43" s="21" t="n"/>
      <c r="E43" s="21" t="n"/>
      <c r="F43" s="21" t="n"/>
      <c r="G43" s="21" t="n"/>
      <c r="H43" s="21" t="n"/>
      <c r="J43" s="420" t="n"/>
      <c r="K43" s="421" t="n"/>
      <c r="L43" s="421" t="n"/>
    </row>
    <row r="44">
      <c r="A44" s="256" t="n"/>
      <c r="B44" s="21" t="n"/>
      <c r="C44" s="22" t="n"/>
      <c r="D44" s="21" t="n"/>
      <c r="E44" s="21" t="n"/>
      <c r="F44" s="21" t="n"/>
      <c r="G44" s="21" t="n"/>
      <c r="H44" s="21" t="n"/>
      <c r="J44" s="420" t="n"/>
      <c r="K44" s="421" t="n"/>
      <c r="L44" s="421" t="n"/>
      <c r="M44" s="424" t="n"/>
    </row>
    <row r="45">
      <c r="A45" s="256" t="n"/>
      <c r="B45" s="21" t="n"/>
      <c r="C45" s="22" t="n"/>
      <c r="D45" s="21" t="n"/>
      <c r="E45" s="21" t="n"/>
      <c r="F45" s="21" t="n"/>
      <c r="G45" s="21" t="n"/>
      <c r="H45" s="21" t="n"/>
      <c r="J45" s="420" t="n"/>
      <c r="K45" s="421" t="n"/>
      <c r="L45" s="421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  <row r="135">
      <c r="C135" s="30" t="n"/>
    </row>
    <row r="136">
      <c r="C136" s="30" t="n"/>
    </row>
    <row r="137">
      <c r="C137" s="30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4"/>
  <sheetViews>
    <sheetView topLeftCell="A4" zoomScale="70" zoomScaleNormal="70" workbookViewId="0">
      <selection activeCell="D24" sqref="D24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67" t="inlineStr">
        <is>
          <t>Ord No.</t>
        </is>
      </c>
      <c r="B1" s="68" t="inlineStr">
        <is>
          <t>Time</t>
        </is>
      </c>
      <c r="C1" s="68" t="inlineStr">
        <is>
          <t>Trip</t>
        </is>
      </c>
      <c r="D1" s="441" t="inlineStr">
        <is>
          <t>Driver</t>
        </is>
      </c>
      <c r="E1" s="498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customFormat="1" s="146">
      <c r="A2" s="204" t="n"/>
      <c r="B2" s="206" t="n"/>
      <c r="C2" s="142" t="n"/>
      <c r="D2" s="399" t="n"/>
      <c r="E2" s="399" t="n"/>
      <c r="F2" s="247" t="n"/>
      <c r="G2" s="170" t="n"/>
      <c r="H2" s="448" t="n"/>
      <c r="I2" s="457" t="n"/>
      <c r="J2" s="395" t="n"/>
      <c r="K2" s="396" t="n"/>
      <c r="L2" s="429" t="n"/>
      <c r="M2" s="392">
        <f>K2+L2</f>
        <v/>
      </c>
      <c r="N2" s="392" t="n">
        <v>0</v>
      </c>
      <c r="O2" s="110" t="n"/>
    </row>
    <row r="3" customFormat="1" s="146">
      <c r="A3" s="204" t="n"/>
      <c r="B3" s="206" t="n"/>
      <c r="C3" s="142" t="n"/>
      <c r="D3" s="399" t="n"/>
      <c r="E3" s="399" t="n"/>
      <c r="F3" s="247" t="n"/>
      <c r="G3" s="170" t="n"/>
      <c r="H3" s="448" t="n"/>
      <c r="I3" s="457" t="n"/>
      <c r="J3" s="395" t="n"/>
      <c r="K3" s="396" t="n"/>
      <c r="L3" s="429" t="n"/>
      <c r="M3" s="392">
        <f>K3+L3</f>
        <v/>
      </c>
      <c r="N3" s="392" t="n">
        <v>0</v>
      </c>
      <c r="O3" s="110" t="n"/>
    </row>
    <row r="4" ht="17.25" customFormat="1" customHeight="1" s="110">
      <c r="A4" s="45" t="n"/>
      <c r="B4" s="46" t="n"/>
      <c r="C4" s="39" t="n"/>
      <c r="D4" s="399" t="n"/>
      <c r="E4" s="39" t="n"/>
      <c r="F4" s="248" t="n"/>
      <c r="G4" s="111" t="n"/>
      <c r="H4" s="91" t="n"/>
      <c r="I4" s="389" t="n"/>
      <c r="J4" s="395" t="n"/>
      <c r="K4" s="396" t="n"/>
      <c r="L4" s="429" t="n"/>
      <c r="M4" s="392">
        <f>K4+L4</f>
        <v/>
      </c>
      <c r="N4" s="392" t="n">
        <v>0</v>
      </c>
    </row>
    <row r="5" ht="17.25" customFormat="1" customHeight="1" s="6">
      <c r="A5" s="177" t="n"/>
      <c r="B5" s="198" t="n"/>
      <c r="C5" s="39" t="n"/>
      <c r="D5" s="399" t="n"/>
      <c r="E5" s="160" t="n"/>
      <c r="F5" s="40" t="n"/>
      <c r="G5" s="40" t="n"/>
      <c r="H5" s="39" t="n"/>
      <c r="I5" s="393" t="n"/>
      <c r="J5" s="395" t="n"/>
      <c r="K5" s="392" t="n"/>
      <c r="L5" s="391" t="n"/>
      <c r="M5" s="392">
        <f>K5+L5</f>
        <v/>
      </c>
      <c r="N5" s="392" t="n">
        <v>0</v>
      </c>
    </row>
    <row r="6" ht="17.25" customFormat="1" customHeight="1" s="6">
      <c r="A6" s="177" t="n"/>
      <c r="B6" s="198" t="n"/>
      <c r="C6" s="39" t="n"/>
      <c r="D6" s="399" t="n"/>
      <c r="E6" s="160" t="n"/>
      <c r="F6" s="40" t="n"/>
      <c r="G6" s="40" t="n"/>
      <c r="H6" s="39" t="n"/>
      <c r="I6" s="393" t="n"/>
      <c r="J6" s="395" t="n"/>
      <c r="K6" s="392" t="n"/>
      <c r="L6" s="391" t="n"/>
      <c r="M6" s="392">
        <f>K6+L6</f>
        <v/>
      </c>
      <c r="N6" s="392" t="n">
        <v>0</v>
      </c>
    </row>
    <row r="7" ht="17.25" customFormat="1" customHeight="1" s="6">
      <c r="A7" s="47" t="n"/>
      <c r="B7" s="48" t="n"/>
      <c r="C7" s="39" t="n"/>
      <c r="D7" s="399" t="n"/>
      <c r="E7" s="39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Height="1" s="374">
      <c r="A8" s="47" t="n"/>
      <c r="B8" s="48" t="n"/>
      <c r="C8" s="39" t="n"/>
      <c r="D8" s="399" t="n"/>
      <c r="E8" s="39" t="n"/>
      <c r="F8" s="40" t="n"/>
      <c r="G8" s="40" t="n"/>
      <c r="H8" s="39" t="n"/>
      <c r="I8" s="393" t="n"/>
      <c r="J8" s="510" t="n"/>
      <c r="K8" s="392" t="n"/>
      <c r="L8" s="391" t="n"/>
      <c r="M8" s="392">
        <f>K8+L8</f>
        <v/>
      </c>
      <c r="N8" s="392" t="n">
        <v>0</v>
      </c>
    </row>
    <row r="9" ht="17.25" customFormat="1" customHeight="1" s="6">
      <c r="A9" s="126" t="n"/>
      <c r="B9" s="48" t="n"/>
      <c r="C9" s="3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45" t="n"/>
      <c r="B10" s="48" t="n"/>
      <c r="C10" s="39" t="n"/>
      <c r="D10" s="402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400">
        <f>K10+L10</f>
        <v/>
      </c>
      <c r="N10" s="392" t="n">
        <v>0</v>
      </c>
    </row>
    <row r="11">
      <c r="A11" s="45" t="n"/>
      <c r="B11" s="46" t="n"/>
      <c r="C11" s="39" t="n"/>
      <c r="D11" s="405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400">
        <f>K11+L11</f>
        <v/>
      </c>
      <c r="N11" s="392" t="n">
        <v>0</v>
      </c>
    </row>
    <row r="12">
      <c r="A12" s="47" t="n"/>
      <c r="B12" s="48" t="n"/>
      <c r="C12" s="39" t="n"/>
      <c r="D12" s="405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400">
        <f>K12+L12</f>
        <v/>
      </c>
      <c r="N12" s="392" t="n">
        <v>0</v>
      </c>
    </row>
    <row r="13">
      <c r="A13" s="45" t="n"/>
      <c r="B13" s="46" t="n"/>
      <c r="C13" s="39" t="n"/>
      <c r="D13" s="399" t="n"/>
      <c r="E13" s="39" t="n"/>
      <c r="F13" s="40" t="n"/>
      <c r="G13" s="40" t="n"/>
      <c r="H13" s="39" t="n"/>
      <c r="I13" s="393" t="n"/>
      <c r="J13" s="404" t="n"/>
      <c r="K13" s="392" t="n"/>
      <c r="L13" s="392" t="n"/>
      <c r="M13" s="400">
        <f>K13+L13</f>
        <v/>
      </c>
      <c r="N13" s="392" t="n">
        <v>0</v>
      </c>
    </row>
    <row r="14">
      <c r="A14" s="59" t="n"/>
      <c r="B14" s="52" t="n"/>
      <c r="C14" s="53" t="n"/>
      <c r="D14" s="402" t="n"/>
      <c r="E14" s="53" t="n"/>
      <c r="F14" s="61" t="n"/>
      <c r="G14" s="61" t="n"/>
      <c r="H14" s="53" t="n"/>
      <c r="I14" s="403" t="n"/>
      <c r="J14" s="406" t="n"/>
      <c r="K14" s="400" t="n"/>
      <c r="L14" s="400" t="n"/>
      <c r="M14" s="400">
        <f>K14+L14</f>
        <v/>
      </c>
      <c r="N14" s="392" t="n">
        <v>0</v>
      </c>
    </row>
    <row r="15">
      <c r="A15" s="59" t="n"/>
      <c r="B15" s="52" t="n"/>
      <c r="C15" s="53" t="n"/>
      <c r="D15" s="399" t="n"/>
      <c r="E15" s="53" t="n"/>
      <c r="F15" s="54" t="n"/>
      <c r="G15" s="54" t="n"/>
      <c r="H15" s="395" t="n"/>
      <c r="I15" s="403" t="n"/>
      <c r="J15" s="406" t="n"/>
      <c r="K15" s="400" t="n"/>
      <c r="L15" s="435" t="n"/>
      <c r="M15" s="400">
        <f>K15+L15</f>
        <v/>
      </c>
      <c r="N15" s="392" t="n">
        <v>0</v>
      </c>
    </row>
    <row r="16">
      <c r="A16" s="126" t="n"/>
      <c r="B16" s="48" t="n"/>
      <c r="C16" s="39" t="n"/>
      <c r="D16" s="402" t="n"/>
      <c r="E16" s="53" t="n"/>
      <c r="F16" s="54" t="n"/>
      <c r="G16" s="54" t="n"/>
      <c r="H16" s="408" t="n"/>
      <c r="I16" s="403" t="n"/>
      <c r="J16" s="406" t="n"/>
      <c r="K16" s="400" t="n"/>
      <c r="L16" s="435" t="n"/>
      <c r="M16" s="400">
        <f>K16+L16</f>
        <v/>
      </c>
      <c r="N16" s="392" t="n">
        <v>0</v>
      </c>
    </row>
    <row r="17">
      <c r="A17" s="126" t="n"/>
      <c r="B17" s="48" t="n"/>
      <c r="C17" s="39" t="n"/>
      <c r="D17" s="399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126" t="n"/>
      <c r="B18" s="48" t="n"/>
      <c r="C18" s="39" t="n"/>
      <c r="D18" s="402" t="n"/>
      <c r="E18" s="53" t="n"/>
      <c r="F18" s="54" t="n"/>
      <c r="G18" s="54" t="n"/>
      <c r="H18" s="408" t="n"/>
      <c r="I18" s="403" t="n"/>
      <c r="J18" s="406" t="n"/>
      <c r="K18" s="400" t="n"/>
      <c r="L18" s="435" t="n"/>
      <c r="M18" s="400">
        <f>K18+L18</f>
        <v/>
      </c>
      <c r="N18" s="392" t="n">
        <v>0</v>
      </c>
    </row>
    <row r="19">
      <c r="A19" s="59" t="n"/>
      <c r="B19" s="52" t="n"/>
      <c r="C19" s="53" t="n"/>
      <c r="E19" s="53" t="n"/>
      <c r="F19" s="54" t="n"/>
      <c r="G19" s="54" t="n"/>
      <c r="H19" s="395" t="n"/>
      <c r="I19" s="403" t="n"/>
      <c r="J19" s="406" t="n"/>
      <c r="K19" s="400" t="n"/>
      <c r="L19" s="435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27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9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381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407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38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1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10" t="n"/>
      <c r="D35" s="381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7" t="n"/>
      <c r="B38" s="18" t="n"/>
      <c r="C38" s="10" t="n"/>
      <c r="D38" s="402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6"/>
  <sheetViews>
    <sheetView topLeftCell="A4" zoomScale="70" zoomScaleNormal="70" workbookViewId="0">
      <selection activeCell="I31" sqref="I31"/>
    </sheetView>
  </sheetViews>
  <sheetFormatPr baseColWidth="8" defaultColWidth="8.77734375" defaultRowHeight="16.2"/>
  <cols>
    <col width="9.44140625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285" t="inlineStr">
        <is>
          <t>Ord No.</t>
        </is>
      </c>
      <c r="B1" s="286" t="inlineStr">
        <is>
          <t>Time</t>
        </is>
      </c>
      <c r="C1" s="286" t="inlineStr">
        <is>
          <t>Trip</t>
        </is>
      </c>
      <c r="D1" s="443" t="inlineStr">
        <is>
          <t>Driver</t>
        </is>
      </c>
      <c r="E1" s="511" t="inlineStr">
        <is>
          <t>Status</t>
        </is>
      </c>
      <c r="F1" s="511" t="inlineStr">
        <is>
          <t>Pick</t>
        </is>
      </c>
      <c r="G1" s="511" t="inlineStr">
        <is>
          <t>Drop</t>
        </is>
      </c>
      <c r="H1" s="511" t="inlineStr">
        <is>
          <t>Decp</t>
        </is>
      </c>
      <c r="I1" s="512" t="inlineStr">
        <is>
          <t>Ptime</t>
        </is>
      </c>
      <c r="J1" s="513" t="inlineStr">
        <is>
          <t>Driver.Details</t>
        </is>
      </c>
      <c r="K1" s="514" t="inlineStr">
        <is>
          <t>Dvr.OT</t>
        </is>
      </c>
      <c r="L1" s="514" t="inlineStr">
        <is>
          <t>Dvr.C</t>
        </is>
      </c>
      <c r="M1" s="514" t="inlineStr">
        <is>
          <t>Driver.C+OT</t>
        </is>
      </c>
      <c r="N1" s="514" t="inlineStr">
        <is>
          <t>Bouns</t>
        </is>
      </c>
    </row>
    <row r="2" ht="17.25" customFormat="1" customHeight="1" s="110">
      <c r="A2" s="292" t="n"/>
      <c r="B2" s="293" t="n"/>
      <c r="C2" s="294" t="n"/>
      <c r="D2" s="458" t="n"/>
      <c r="E2" s="458" t="n"/>
      <c r="F2" s="296" t="n"/>
      <c r="G2" s="296" t="n"/>
      <c r="H2" s="458" t="n"/>
      <c r="I2" s="459" t="n"/>
      <c r="J2" s="515" t="n"/>
      <c r="K2" s="516" t="n"/>
      <c r="L2" s="516" t="n"/>
      <c r="M2" s="504">
        <f>K2+L2</f>
        <v/>
      </c>
      <c r="N2" s="504" t="n">
        <v>0</v>
      </c>
    </row>
    <row r="3" ht="17.25" customFormat="1" customHeight="1" s="110">
      <c r="A3" s="292" t="n"/>
      <c r="B3" s="293" t="n"/>
      <c r="C3" s="294" t="n"/>
      <c r="D3" s="294" t="n"/>
      <c r="E3" s="300" t="n"/>
      <c r="F3" s="296" t="n"/>
      <c r="G3" s="296" t="n"/>
      <c r="H3" s="300" t="n"/>
      <c r="I3" s="459" t="n"/>
      <c r="J3" s="515" t="n"/>
      <c r="K3" s="516" t="n"/>
      <c r="L3" s="516" t="n"/>
      <c r="M3" s="504">
        <f>K3+L3</f>
        <v/>
      </c>
      <c r="N3" s="504" t="n">
        <v>0</v>
      </c>
    </row>
    <row r="4" ht="17.25" customFormat="1" customHeight="1" s="110">
      <c r="A4" s="292" t="n"/>
      <c r="B4" s="293" t="n"/>
      <c r="C4" s="294" t="n"/>
      <c r="D4" s="458" t="n"/>
      <c r="E4" s="300" t="n"/>
      <c r="F4" s="296" t="n"/>
      <c r="G4" s="296" t="n"/>
      <c r="H4" s="300" t="n"/>
      <c r="I4" s="459" t="n"/>
      <c r="J4" s="515" t="n"/>
      <c r="K4" s="516" t="n"/>
      <c r="L4" s="516" t="n"/>
      <c r="M4" s="504">
        <f>K4+L4</f>
        <v/>
      </c>
      <c r="N4" s="504" t="n">
        <v>0</v>
      </c>
    </row>
    <row r="5" ht="17.25" customFormat="1" customHeight="1" s="110">
      <c r="A5" s="292" t="n"/>
      <c r="B5" s="293" t="n"/>
      <c r="C5" s="294" t="n"/>
      <c r="D5" s="458" t="n"/>
      <c r="E5" s="300" t="n"/>
      <c r="F5" s="296" t="n"/>
      <c r="G5" s="296" t="n"/>
      <c r="H5" s="300" t="n"/>
      <c r="I5" s="459" t="n"/>
      <c r="J5" s="515" t="n"/>
      <c r="K5" s="516" t="n"/>
      <c r="L5" s="516" t="n"/>
      <c r="M5" s="504">
        <f>K5+L5</f>
        <v/>
      </c>
      <c r="N5" s="504" t="n">
        <v>0</v>
      </c>
    </row>
    <row r="6" ht="17.25" customFormat="1" customHeight="1" s="110">
      <c r="A6" s="292" t="n"/>
      <c r="B6" s="293" t="n"/>
      <c r="C6" s="294" t="n"/>
      <c r="D6" s="517" t="n"/>
      <c r="E6" s="302" t="n"/>
      <c r="F6" s="303" t="n"/>
      <c r="G6" s="303" t="n"/>
      <c r="H6" s="302" t="n"/>
      <c r="I6" s="515" t="n"/>
      <c r="J6" s="515" t="n"/>
      <c r="K6" s="516" t="n"/>
      <c r="L6" s="516" t="n"/>
      <c r="M6" s="516">
        <f>K6+L6</f>
        <v/>
      </c>
      <c r="N6" s="504" t="n">
        <v>0</v>
      </c>
    </row>
    <row r="7" ht="17.25" customFormat="1" customHeight="1" s="110">
      <c r="A7" s="292" t="n"/>
      <c r="B7" s="293" t="n"/>
      <c r="C7" s="294" t="n"/>
      <c r="D7" s="517" t="n"/>
      <c r="E7" s="302" t="n"/>
      <c r="F7" s="303" t="n"/>
      <c r="G7" s="303" t="n"/>
      <c r="H7" s="305" t="n"/>
      <c r="I7" s="461" t="n"/>
      <c r="J7" s="461" t="n"/>
      <c r="K7" s="516" t="n"/>
      <c r="L7" s="516" t="n"/>
      <c r="M7" s="504">
        <f>K7+L7</f>
        <v/>
      </c>
      <c r="N7" s="504" t="n">
        <v>0</v>
      </c>
    </row>
    <row r="8" ht="17.25" customFormat="1" customHeight="1" s="110">
      <c r="A8" s="307" t="n"/>
      <c r="B8" s="308" t="n"/>
      <c r="C8" s="305" t="n"/>
      <c r="D8" s="458" t="n"/>
      <c r="E8" s="305" t="n"/>
      <c r="F8" s="309" t="n"/>
      <c r="G8" s="309" t="n"/>
      <c r="H8" s="305" t="n"/>
      <c r="I8" s="461" t="n"/>
      <c r="J8" s="461" t="n"/>
      <c r="K8" s="516" t="n"/>
      <c r="L8" s="516" t="n"/>
      <c r="M8" s="504">
        <f>K8+L8</f>
        <v/>
      </c>
      <c r="N8" s="504" t="n">
        <v>0</v>
      </c>
    </row>
    <row r="9" ht="17.25" customFormat="1" customHeight="1" s="110">
      <c r="A9" s="307" t="n"/>
      <c r="B9" s="308" t="n"/>
      <c r="C9" s="305" t="n"/>
      <c r="D9" s="458" t="n"/>
      <c r="E9" s="305" t="n"/>
      <c r="F9" s="309" t="n"/>
      <c r="G9" s="309" t="n"/>
      <c r="H9" s="518" t="n"/>
      <c r="I9" s="461" t="n"/>
      <c r="J9" s="519" t="n"/>
      <c r="K9" s="516" t="n"/>
      <c r="L9" s="516" t="n"/>
      <c r="M9" s="504">
        <f>K9+L9</f>
        <v/>
      </c>
      <c r="N9" s="504" t="n">
        <v>0</v>
      </c>
    </row>
    <row r="10" ht="17.25" customHeight="1" s="374">
      <c r="A10" s="312" t="n"/>
      <c r="B10" s="313" t="n"/>
      <c r="C10" s="305" t="n"/>
      <c r="D10" s="458" t="n"/>
      <c r="E10" s="305" t="n"/>
      <c r="F10" s="309" t="n"/>
      <c r="G10" s="309" t="n"/>
      <c r="H10" s="305" t="n"/>
      <c r="I10" s="461" t="n"/>
      <c r="J10" s="519" t="n"/>
      <c r="K10" s="504" t="n"/>
      <c r="L10" s="504" t="n"/>
      <c r="M10" s="504">
        <f>K10+L10</f>
        <v/>
      </c>
      <c r="N10" s="504" t="n">
        <v>0</v>
      </c>
    </row>
    <row r="11" ht="17.25" customHeight="1" s="374">
      <c r="A11" s="314" t="n"/>
      <c r="B11" s="315" t="n"/>
      <c r="C11" s="305" t="n"/>
      <c r="D11" s="458" t="n"/>
      <c r="E11" s="316" t="n"/>
      <c r="F11" s="317" t="n"/>
      <c r="G11" s="317" t="n"/>
      <c r="H11" s="316" t="n"/>
      <c r="I11" s="520" t="n"/>
      <c r="J11" s="521" t="n"/>
      <c r="K11" s="503" t="n"/>
      <c r="L11" s="504" t="n"/>
      <c r="M11" s="503">
        <f>K11+L11</f>
        <v/>
      </c>
      <c r="N11" s="504" t="n">
        <v>0</v>
      </c>
    </row>
    <row r="12" ht="17.25" customHeight="1" s="374">
      <c r="A12" s="321" t="n"/>
      <c r="B12" s="315" t="n"/>
      <c r="C12" s="316" t="n"/>
      <c r="D12" s="522" t="n"/>
      <c r="E12" s="316" t="n"/>
      <c r="F12" s="317" t="n"/>
      <c r="G12" s="317" t="n"/>
      <c r="H12" s="316" t="n"/>
      <c r="I12" s="520" t="n"/>
      <c r="J12" s="521" t="n"/>
      <c r="K12" s="503" t="n"/>
      <c r="L12" s="504" t="n"/>
      <c r="M12" s="503">
        <f>K12+L12</f>
        <v/>
      </c>
      <c r="N12" s="504" t="n">
        <v>0</v>
      </c>
    </row>
    <row r="13" ht="17.25" customFormat="1" customHeight="1" s="6">
      <c r="A13" s="314" t="n"/>
      <c r="B13" s="315" t="n"/>
      <c r="C13" s="316" t="n"/>
      <c r="D13" s="522" t="n"/>
      <c r="E13" s="316" t="n"/>
      <c r="F13" s="317" t="n"/>
      <c r="G13" s="317" t="n"/>
      <c r="H13" s="523" t="n"/>
      <c r="I13" s="520" t="n"/>
      <c r="J13" s="521" t="n"/>
      <c r="K13" s="503" t="n"/>
      <c r="L13" s="504" t="n"/>
      <c r="M13" s="503">
        <f>K13+L13</f>
        <v/>
      </c>
      <c r="N13" s="504" t="n">
        <v>0</v>
      </c>
    </row>
    <row r="14">
      <c r="A14" s="324" t="n"/>
      <c r="B14" s="315" t="n"/>
      <c r="C14" s="316" t="n"/>
      <c r="D14" s="522" t="n"/>
      <c r="E14" s="316" t="n"/>
      <c r="F14" s="317" t="n"/>
      <c r="G14" s="317" t="n"/>
      <c r="H14" s="316" t="n"/>
      <c r="I14" s="520" t="n"/>
      <c r="J14" s="521" t="n"/>
      <c r="K14" s="503" t="n"/>
      <c r="L14" s="504" t="n"/>
      <c r="M14" s="503">
        <f>K14+L14</f>
        <v/>
      </c>
      <c r="N14" s="504" t="n">
        <v>0</v>
      </c>
    </row>
    <row r="15">
      <c r="A15" s="307" t="n"/>
      <c r="B15" s="313" t="n"/>
      <c r="C15" s="305" t="n"/>
      <c r="D15" s="458" t="n"/>
      <c r="E15" s="305" t="n"/>
      <c r="F15" s="309" t="n"/>
      <c r="G15" s="309" t="n"/>
      <c r="H15" s="305" t="n"/>
      <c r="I15" s="461" t="n"/>
      <c r="J15" s="519" t="n"/>
      <c r="K15" s="504" t="n"/>
      <c r="L15" s="504" t="n"/>
      <c r="M15" s="503">
        <f>K15+L15</f>
        <v/>
      </c>
      <c r="N15" s="504" t="n">
        <v>0</v>
      </c>
    </row>
    <row r="16">
      <c r="A16" s="307" t="n"/>
      <c r="B16" s="308" t="n"/>
      <c r="C16" s="305" t="n"/>
      <c r="D16" s="524" t="n"/>
      <c r="E16" s="305" t="n"/>
      <c r="F16" s="309" t="n"/>
      <c r="G16" s="309" t="n"/>
      <c r="H16" s="305" t="n"/>
      <c r="I16" s="461" t="n"/>
      <c r="J16" s="519" t="n"/>
      <c r="K16" s="504" t="n"/>
      <c r="L16" s="504" t="n"/>
      <c r="M16" s="503">
        <f>K16+L16</f>
        <v/>
      </c>
      <c r="N16" s="504" t="n">
        <v>0</v>
      </c>
    </row>
    <row r="17">
      <c r="A17" s="312" t="n"/>
      <c r="B17" s="313" t="n"/>
      <c r="C17" s="305" t="n"/>
      <c r="D17" s="524" t="n"/>
      <c r="E17" s="305" t="n"/>
      <c r="F17" s="309" t="n"/>
      <c r="G17" s="309" t="n"/>
      <c r="H17" s="305" t="n"/>
      <c r="I17" s="461" t="n"/>
      <c r="J17" s="519" t="n"/>
      <c r="K17" s="504" t="n"/>
      <c r="L17" s="504" t="n"/>
      <c r="M17" s="503">
        <f>K17+L17</f>
        <v/>
      </c>
      <c r="N17" s="504" t="n">
        <v>0</v>
      </c>
    </row>
    <row r="18">
      <c r="A18" s="307" t="n"/>
      <c r="B18" s="308" t="n"/>
      <c r="C18" s="305" t="n"/>
      <c r="D18" s="458" t="n"/>
      <c r="E18" s="305" t="n"/>
      <c r="F18" s="309" t="n"/>
      <c r="G18" s="309" t="n"/>
      <c r="H18" s="305" t="n"/>
      <c r="I18" s="461" t="n"/>
      <c r="J18" s="519" t="n"/>
      <c r="K18" s="504" t="n"/>
      <c r="L18" s="504" t="n"/>
      <c r="M18" s="503">
        <f>K18+L18</f>
        <v/>
      </c>
      <c r="N18" s="504" t="n">
        <v>0</v>
      </c>
    </row>
    <row r="19">
      <c r="A19" s="285" t="n"/>
      <c r="B19" s="326" t="n"/>
      <c r="C19" s="316" t="n"/>
      <c r="D19" s="443" t="n"/>
      <c r="E19" s="316" t="n"/>
      <c r="F19" s="327" t="n"/>
      <c r="G19" s="327" t="n"/>
      <c r="H19" s="316" t="n"/>
      <c r="I19" s="520" t="n"/>
      <c r="J19" s="521" t="n"/>
      <c r="K19" s="503" t="n"/>
      <c r="L19" s="503" t="n"/>
      <c r="M19" s="503">
        <f>K19+L19</f>
        <v/>
      </c>
      <c r="N19" s="504" t="n">
        <v>0</v>
      </c>
    </row>
    <row r="20">
      <c r="A20" s="314" t="n"/>
      <c r="B20" s="328" t="n"/>
      <c r="C20" s="316" t="n"/>
      <c r="D20" s="443" t="n"/>
      <c r="E20" s="316" t="n"/>
      <c r="F20" s="327" t="n"/>
      <c r="G20" s="327" t="n"/>
      <c r="H20" s="316" t="n"/>
      <c r="I20" s="520" t="n"/>
      <c r="J20" s="521" t="n"/>
      <c r="K20" s="503" t="n"/>
      <c r="L20" s="503" t="n"/>
      <c r="M20" s="503">
        <f>K20+L20</f>
        <v/>
      </c>
      <c r="N20" s="504" t="n">
        <v>0</v>
      </c>
    </row>
    <row r="21">
      <c r="A21" s="314" t="n"/>
      <c r="B21" s="328" t="n"/>
      <c r="C21" s="316" t="n"/>
      <c r="D21" s="443" t="n"/>
      <c r="E21" s="316" t="n"/>
      <c r="F21" s="327" t="n"/>
      <c r="G21" s="327" t="n"/>
      <c r="H21" s="316" t="n"/>
      <c r="I21" s="520" t="n"/>
      <c r="J21" s="521" t="n"/>
      <c r="K21" s="503" t="n"/>
      <c r="L21" s="503" t="n"/>
      <c r="M21" s="503">
        <f>K21+L21</f>
        <v/>
      </c>
      <c r="N21" s="504" t="n">
        <v>0</v>
      </c>
    </row>
    <row r="22">
      <c r="A22" s="314" t="n"/>
      <c r="B22" s="328" t="n"/>
      <c r="C22" s="316" t="n"/>
      <c r="D22" s="443" t="n"/>
      <c r="E22" s="316" t="n"/>
      <c r="F22" s="327" t="n"/>
      <c r="G22" s="327" t="n"/>
      <c r="H22" s="316" t="n"/>
      <c r="I22" s="520" t="n"/>
      <c r="J22" s="521" t="n"/>
      <c r="K22" s="503" t="n"/>
      <c r="L22" s="503" t="n"/>
      <c r="M22" s="503">
        <f>K22+L22</f>
        <v/>
      </c>
      <c r="N22" s="504" t="n">
        <v>0</v>
      </c>
    </row>
    <row r="23">
      <c r="A23" s="314" t="n"/>
      <c r="B23" s="328" t="n"/>
      <c r="C23" s="316" t="n"/>
      <c r="D23" s="443" t="n"/>
      <c r="E23" s="316" t="n"/>
      <c r="F23" s="327" t="n"/>
      <c r="G23" s="327" t="n"/>
      <c r="H23" s="316" t="n"/>
      <c r="I23" s="520" t="n"/>
      <c r="J23" s="521" t="n"/>
      <c r="K23" s="503" t="n"/>
      <c r="L23" s="503" t="n"/>
      <c r="M23" s="503">
        <f>K23+L23</f>
        <v/>
      </c>
      <c r="N23" s="504" t="n">
        <v>0</v>
      </c>
    </row>
    <row r="24">
      <c r="A24" s="314" t="n"/>
      <c r="B24" s="328" t="n"/>
      <c r="C24" s="316" t="n"/>
      <c r="D24" s="442" t="n"/>
      <c r="E24" s="316" t="n"/>
      <c r="F24" s="327" t="n"/>
      <c r="G24" s="327" t="n"/>
      <c r="H24" s="316" t="n"/>
      <c r="I24" s="520" t="n"/>
      <c r="J24" s="521" t="n"/>
      <c r="K24" s="503" t="n"/>
      <c r="L24" s="503" t="n"/>
      <c r="M24" s="503">
        <f>K24+L24</f>
        <v/>
      </c>
      <c r="N24" s="504" t="n">
        <v>0</v>
      </c>
    </row>
    <row r="25">
      <c r="A25" s="314" t="n"/>
      <c r="B25" s="328" t="n"/>
      <c r="C25" s="316" t="n"/>
      <c r="D25" s="316" t="n"/>
      <c r="E25" s="316" t="n"/>
      <c r="F25" s="327" t="n"/>
      <c r="G25" s="327" t="n"/>
      <c r="H25" s="316" t="n"/>
      <c r="I25" s="520" t="n"/>
      <c r="J25" s="521" t="n"/>
      <c r="K25" s="503" t="n"/>
      <c r="L25" s="503" t="n"/>
      <c r="M25" s="503">
        <f>K25+L25</f>
        <v/>
      </c>
      <c r="N25" s="504" t="n">
        <v>0</v>
      </c>
    </row>
    <row r="26">
      <c r="A26" s="314" t="n"/>
      <c r="B26" s="328" t="n"/>
      <c r="C26" s="316" t="n"/>
      <c r="D26" s="443" t="n"/>
      <c r="E26" s="316" t="n"/>
      <c r="F26" s="327" t="n"/>
      <c r="G26" s="327" t="n"/>
      <c r="H26" s="316" t="n"/>
      <c r="I26" s="520" t="n"/>
      <c r="J26" s="521" t="n"/>
      <c r="K26" s="503" t="n"/>
      <c r="L26" s="503" t="n"/>
      <c r="M26" s="503">
        <f>K26+L26</f>
        <v/>
      </c>
      <c r="N26" s="504" t="n">
        <v>0</v>
      </c>
    </row>
    <row r="27">
      <c r="A27" s="314" t="n"/>
      <c r="B27" s="328" t="n"/>
      <c r="C27" s="316" t="n"/>
      <c r="D27" s="442" t="n"/>
      <c r="E27" s="316" t="n"/>
      <c r="F27" s="327" t="n"/>
      <c r="G27" s="327" t="n"/>
      <c r="H27" s="316" t="n"/>
      <c r="I27" s="520" t="n"/>
      <c r="J27" s="521" t="n"/>
      <c r="K27" s="503" t="n"/>
      <c r="L27" s="503" t="n"/>
      <c r="M27" s="503">
        <f>K27+L27</f>
        <v/>
      </c>
      <c r="N27" s="504" t="n">
        <v>0</v>
      </c>
    </row>
    <row r="28">
      <c r="A28" s="314" t="n"/>
      <c r="B28" s="328" t="n"/>
      <c r="C28" s="316" t="n"/>
      <c r="D28" s="316" t="n"/>
      <c r="E28" s="316" t="n"/>
      <c r="F28" s="327" t="n"/>
      <c r="G28" s="327" t="n"/>
      <c r="H28" s="316" t="n"/>
      <c r="I28" s="520" t="n"/>
      <c r="J28" s="521" t="n"/>
      <c r="K28" s="503" t="n"/>
      <c r="L28" s="503" t="n"/>
      <c r="M28" s="503">
        <f>K28+L28</f>
        <v/>
      </c>
      <c r="N28" s="504" t="n">
        <v>0</v>
      </c>
    </row>
    <row r="29">
      <c r="A29" s="314" t="n"/>
      <c r="B29" s="328" t="n"/>
      <c r="C29" s="316" t="n"/>
      <c r="D29" s="443" t="n"/>
      <c r="E29" s="316" t="n"/>
      <c r="F29" s="327" t="n"/>
      <c r="G29" s="327" t="n"/>
      <c r="H29" s="316" t="n"/>
      <c r="I29" s="520" t="n"/>
      <c r="J29" s="521" t="n"/>
      <c r="K29" s="503" t="n"/>
      <c r="L29" s="503" t="n"/>
      <c r="M29" s="503">
        <f>K29+L29</f>
        <v/>
      </c>
      <c r="N29" s="504" t="n">
        <v>0</v>
      </c>
    </row>
    <row r="30">
      <c r="A30" s="314" t="n"/>
      <c r="B30" s="328" t="n"/>
      <c r="C30" s="316" t="n"/>
      <c r="D30" s="525" t="n"/>
      <c r="E30" s="316" t="n"/>
      <c r="F30" s="327" t="n"/>
      <c r="G30" s="327" t="n"/>
      <c r="H30" s="316" t="n"/>
      <c r="I30" s="520" t="n"/>
      <c r="J30" s="521" t="n"/>
      <c r="K30" s="503" t="n"/>
      <c r="L30" s="503" t="n"/>
      <c r="M30" s="503">
        <f>K30+L30</f>
        <v/>
      </c>
      <c r="N30" s="504" t="n">
        <v>0</v>
      </c>
    </row>
    <row r="31">
      <c r="A31" s="314" t="n"/>
      <c r="B31" s="328" t="n"/>
      <c r="C31" s="316" t="n"/>
      <c r="D31" s="443" t="n"/>
      <c r="E31" s="316" t="n"/>
      <c r="F31" s="327" t="n"/>
      <c r="G31" s="327" t="n"/>
      <c r="H31" s="316" t="n"/>
      <c r="I31" s="520" t="n"/>
      <c r="J31" s="521" t="n"/>
      <c r="K31" s="503" t="n"/>
      <c r="L31" s="503" t="n"/>
      <c r="M31" s="503">
        <f>K31+L31</f>
        <v/>
      </c>
      <c r="N31" s="504" t="n">
        <v>0</v>
      </c>
    </row>
    <row r="32">
      <c r="A32" s="314" t="n"/>
      <c r="B32" s="328" t="n"/>
      <c r="C32" s="316" t="n"/>
      <c r="D32" s="331" t="n"/>
      <c r="E32" s="316" t="n"/>
      <c r="F32" s="327" t="n"/>
      <c r="G32" s="327" t="n"/>
      <c r="H32" s="316" t="n"/>
      <c r="I32" s="520" t="n"/>
      <c r="J32" s="521" t="n"/>
      <c r="K32" s="503" t="n"/>
      <c r="L32" s="503" t="n"/>
      <c r="M32" s="503">
        <f>K32+L32</f>
        <v/>
      </c>
      <c r="N32" s="504" t="n">
        <v>0</v>
      </c>
    </row>
    <row r="33">
      <c r="A33" s="314" t="n"/>
      <c r="B33" s="328" t="n"/>
      <c r="C33" s="316" t="n"/>
      <c r="D33" s="443" t="n"/>
      <c r="E33" s="316" t="n"/>
      <c r="F33" s="327" t="n"/>
      <c r="G33" s="327" t="n"/>
      <c r="H33" s="316" t="n"/>
      <c r="I33" s="520" t="n"/>
      <c r="J33" s="521" t="n"/>
      <c r="K33" s="503" t="n"/>
      <c r="L33" s="503" t="n"/>
      <c r="M33" s="503">
        <f>K33+L33</f>
        <v/>
      </c>
      <c r="N33" s="504" t="n">
        <v>0</v>
      </c>
    </row>
    <row r="34">
      <c r="A34" s="314" t="n"/>
      <c r="B34" s="328" t="n"/>
      <c r="C34" s="316" t="n"/>
      <c r="D34" s="443" t="n"/>
      <c r="E34" s="316" t="n"/>
      <c r="F34" s="327" t="n"/>
      <c r="G34" s="327" t="n"/>
      <c r="H34" s="316" t="n"/>
      <c r="I34" s="520" t="n"/>
      <c r="J34" s="521" t="n"/>
      <c r="K34" s="503" t="n"/>
      <c r="L34" s="503" t="n"/>
      <c r="M34" s="503">
        <f>K34+L34</f>
        <v/>
      </c>
      <c r="N34" s="504" t="n">
        <v>0</v>
      </c>
    </row>
    <row r="35">
      <c r="A35" s="314" t="n"/>
      <c r="B35" s="328" t="n"/>
      <c r="C35" s="316" t="n"/>
      <c r="D35" s="442" t="n"/>
      <c r="E35" s="332" t="n"/>
      <c r="F35" s="327" t="n"/>
      <c r="G35" s="327" t="n"/>
      <c r="H35" s="332" t="n"/>
      <c r="I35" s="526" t="n"/>
      <c r="J35" s="527" t="n"/>
      <c r="K35" s="528" t="n"/>
      <c r="L35" s="528" t="n"/>
      <c r="M35" s="503">
        <f>K35+L35</f>
        <v/>
      </c>
      <c r="N35" s="504" t="n">
        <v>0</v>
      </c>
    </row>
    <row r="36">
      <c r="A36" s="336" t="n"/>
      <c r="B36" s="337" t="n"/>
      <c r="C36" s="332" t="n"/>
      <c r="D36" s="443" t="n"/>
      <c r="E36" s="332" t="n"/>
      <c r="F36" s="327" t="n"/>
      <c r="G36" s="327" t="n"/>
      <c r="H36" s="332" t="n"/>
      <c r="I36" s="526" t="n"/>
      <c r="J36" s="527" t="n"/>
      <c r="K36" s="528" t="n"/>
      <c r="L36" s="528" t="n"/>
      <c r="M36" s="503">
        <f>K36+L36</f>
        <v/>
      </c>
      <c r="N36" s="504" t="n">
        <v>0</v>
      </c>
    </row>
    <row r="37">
      <c r="A37" s="336" t="n"/>
      <c r="B37" s="337" t="n"/>
      <c r="C37" s="332" t="n"/>
      <c r="D37" s="444" t="n"/>
      <c r="E37" s="332" t="n"/>
      <c r="F37" s="327" t="n"/>
      <c r="G37" s="327" t="n"/>
      <c r="H37" s="332" t="n"/>
      <c r="I37" s="526" t="n"/>
      <c r="J37" s="527" t="n"/>
      <c r="K37" s="528" t="n"/>
      <c r="L37" s="528" t="n"/>
      <c r="M37" s="503">
        <f>K37+L37</f>
        <v/>
      </c>
      <c r="N37" s="504" t="n">
        <v>0</v>
      </c>
    </row>
    <row r="38">
      <c r="A38" s="74" t="n"/>
      <c r="B38" s="75" t="n"/>
      <c r="C38" s="76" t="n"/>
      <c r="D38" s="430" t="n"/>
      <c r="E38" s="76" t="n"/>
      <c r="F38" s="77" t="n"/>
      <c r="G38" s="77" t="n"/>
      <c r="H38" s="76" t="n"/>
      <c r="I38" s="431" t="n"/>
      <c r="J38" s="432" t="n"/>
      <c r="K38" s="433" t="n"/>
      <c r="L38" s="433" t="n"/>
      <c r="M38" s="434" t="n"/>
      <c r="N38" s="422" t="n"/>
    </row>
    <row r="39">
      <c r="A39" s="74" t="n"/>
      <c r="B39" s="75" t="n"/>
      <c r="C39" s="76" t="n"/>
      <c r="D39" s="492" t="n"/>
      <c r="E39" s="76" t="n"/>
      <c r="F39" s="77" t="n"/>
      <c r="G39" s="77" t="n"/>
      <c r="H39" s="76" t="n"/>
      <c r="I39" s="431" t="n"/>
      <c r="J39" s="432" t="n"/>
      <c r="K39" s="433" t="n"/>
      <c r="L39" s="433" t="n"/>
      <c r="M39" s="434" t="n"/>
      <c r="N39" s="422" t="n"/>
    </row>
    <row r="40">
      <c r="A40" s="81" t="n"/>
      <c r="B40" s="82" t="n"/>
      <c r="C40" s="76" t="n"/>
      <c r="D40" s="454" t="n"/>
      <c r="E40" s="76" t="n"/>
      <c r="F40" s="77" t="n"/>
      <c r="G40" s="77" t="n"/>
      <c r="H40" s="76" t="n"/>
      <c r="I40" s="431" t="n"/>
      <c r="J40" s="432" t="n"/>
      <c r="K40" s="433" t="n"/>
      <c r="L40" s="433" t="n"/>
      <c r="M40" s="529">
        <f>SUM(M2:M39)</f>
        <v/>
      </c>
      <c r="N40" s="529">
        <f>SUM(N2:N39)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I41" s="416" t="n"/>
      <c r="J41" s="420" t="n"/>
      <c r="K41" s="421" t="n"/>
      <c r="L41" s="421" t="n"/>
      <c r="M41" s="421" t="n"/>
      <c r="N41" s="422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A43" s="20" t="n"/>
      <c r="B43" s="21" t="n"/>
      <c r="C43" s="22" t="n"/>
      <c r="D43" s="21" t="n"/>
      <c r="E43" s="21" t="n"/>
      <c r="F43" s="21" t="n"/>
      <c r="G43" s="21" t="n"/>
      <c r="H43" s="21" t="n"/>
      <c r="J43" s="420" t="n"/>
      <c r="K43" s="421" t="n"/>
      <c r="L43" s="421" t="n"/>
      <c r="M43" s="424" t="n"/>
    </row>
    <row r="44">
      <c r="A44" s="20" t="n"/>
      <c r="B44" s="21" t="n"/>
      <c r="C44" s="22" t="n"/>
      <c r="D44" s="21" t="n"/>
      <c r="E44" s="21" t="n"/>
      <c r="F44" s="21" t="n"/>
      <c r="G44" s="21" t="n"/>
      <c r="H44" s="21" t="n"/>
      <c r="J44" s="420" t="n"/>
      <c r="K44" s="421" t="n"/>
      <c r="L44" s="421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  <row r="135">
      <c r="C135" s="30" t="n"/>
    </row>
    <row r="136">
      <c r="C136" s="30" t="n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34"/>
  <sheetViews>
    <sheetView topLeftCell="A4" zoomScale="70" zoomScaleNormal="70" workbookViewId="0">
      <selection activeCell="N2" sqref="N2:N10"/>
    </sheetView>
  </sheetViews>
  <sheetFormatPr baseColWidth="8" defaultColWidth="8.77734375" defaultRowHeight="16.2"/>
  <cols>
    <col width="9" customWidth="1" style="29" min="1" max="1"/>
    <col width="7.33203125" customWidth="1" style="374" min="2" max="2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8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/>
      <c r="B2" s="131" t="n"/>
      <c r="C2" s="91" t="n"/>
      <c r="D2" s="447" t="n"/>
      <c r="E2" s="91" t="n"/>
      <c r="F2" s="111" t="n"/>
      <c r="G2" s="40" t="n"/>
      <c r="H2" s="530" t="n"/>
      <c r="I2" s="389" t="n"/>
      <c r="J2" s="404" t="n"/>
      <c r="K2" s="392" t="n"/>
      <c r="L2" s="391" t="n"/>
      <c r="M2" s="392">
        <f>K2+L2</f>
        <v/>
      </c>
      <c r="N2" s="392" t="n">
        <v>0</v>
      </c>
    </row>
    <row r="3" ht="17.25" customFormat="1" customHeight="1" s="110">
      <c r="A3" s="147" t="n"/>
      <c r="B3" s="131" t="n"/>
      <c r="C3" s="91" t="n"/>
      <c r="D3" s="399" t="n"/>
      <c r="E3" s="39" t="n"/>
      <c r="F3" s="40" t="n"/>
      <c r="G3" s="40" t="n"/>
      <c r="H3" s="39" t="n"/>
      <c r="I3" s="393" t="n"/>
      <c r="J3" s="404" t="n"/>
      <c r="K3" s="392" t="n"/>
      <c r="L3" s="391" t="n"/>
      <c r="M3" s="392">
        <f>K3+L3</f>
        <v/>
      </c>
      <c r="N3" s="392" t="n">
        <v>0</v>
      </c>
    </row>
    <row r="4" ht="17.25" customFormat="1" customHeight="1" s="110">
      <c r="A4" s="147" t="n"/>
      <c r="B4" s="131" t="n"/>
      <c r="C4" s="91" t="n"/>
      <c r="D4" s="399" t="n"/>
      <c r="E4" s="39" t="n"/>
      <c r="F4" s="40" t="n"/>
      <c r="G4" s="40" t="n"/>
      <c r="H4" s="39" t="n"/>
      <c r="I4" s="393" t="n"/>
      <c r="J4" s="404" t="n"/>
      <c r="K4" s="392" t="n"/>
      <c r="L4" s="391" t="n"/>
      <c r="M4" s="392">
        <f>K4+L4</f>
        <v/>
      </c>
      <c r="N4" s="392" t="n">
        <v>0</v>
      </c>
    </row>
    <row r="5" ht="17.25" customHeight="1" s="374">
      <c r="A5" s="45" t="n"/>
      <c r="B5" s="46" t="n"/>
      <c r="C5" s="39" t="n"/>
      <c r="D5" s="428" t="n"/>
      <c r="E5" s="39" t="n"/>
      <c r="F5" s="40" t="n"/>
      <c r="G5" s="40" t="n"/>
      <c r="H5" s="398" t="n"/>
      <c r="I5" s="393" t="n"/>
      <c r="J5" s="393" t="n"/>
      <c r="K5" s="392" t="n"/>
      <c r="L5" s="391" t="n"/>
      <c r="M5" s="392">
        <f>K5+L5</f>
        <v/>
      </c>
      <c r="N5" s="392" t="n">
        <v>0</v>
      </c>
      <c r="O5" s="110" t="n"/>
    </row>
    <row r="6" ht="17.25" customHeight="1" s="374">
      <c r="A6" s="45" t="n"/>
      <c r="B6" s="46" t="n"/>
      <c r="C6" s="91" t="n"/>
      <c r="D6" s="428" t="n"/>
      <c r="E6" s="102" t="n"/>
      <c r="F6" s="111" t="n"/>
      <c r="G6" s="111" t="n"/>
      <c r="H6" s="39" t="n"/>
      <c r="I6" s="393" t="n"/>
      <c r="J6" s="404" t="n"/>
      <c r="K6" s="396" t="n"/>
      <c r="L6" s="429" t="n"/>
      <c r="M6" s="392">
        <f>K6+L6</f>
        <v/>
      </c>
      <c r="N6" s="392" t="n">
        <v>0</v>
      </c>
      <c r="O6" s="110" t="n"/>
    </row>
    <row r="7" ht="17.25" customFormat="1" customHeight="1" s="6">
      <c r="A7" s="45" t="n"/>
      <c r="B7" s="46" t="n"/>
      <c r="C7" s="91" t="n"/>
      <c r="D7" s="399" t="n"/>
      <c r="E7" s="39" t="n"/>
      <c r="F7" s="40" t="n"/>
      <c r="G7" s="40" t="n"/>
      <c r="H7" s="39" t="n"/>
      <c r="I7" s="393" t="n"/>
      <c r="J7" s="404" t="n"/>
      <c r="K7" s="392" t="n"/>
      <c r="L7" s="391" t="n"/>
      <c r="M7" s="392">
        <f>K7+L7</f>
        <v/>
      </c>
      <c r="N7" s="392" t="n">
        <v>0</v>
      </c>
    </row>
    <row r="8" ht="17.25" customHeight="1" s="374">
      <c r="A8" s="89" t="n"/>
      <c r="B8" s="48" t="n"/>
      <c r="C8" s="39" t="n"/>
      <c r="D8" s="399" t="n"/>
      <c r="E8" s="39" t="n"/>
      <c r="F8" s="40" t="n"/>
      <c r="G8" s="40" t="n"/>
      <c r="H8" s="39" t="n"/>
      <c r="I8" s="393" t="n"/>
      <c r="J8" s="404" t="n"/>
      <c r="K8" s="392" t="n"/>
      <c r="L8" s="391" t="n"/>
      <c r="M8" s="392">
        <f>K8+L8</f>
        <v/>
      </c>
      <c r="N8" s="392" t="n">
        <v>0</v>
      </c>
      <c r="O8" s="6" t="n"/>
    </row>
    <row r="9" ht="17.25" customHeight="1" s="374">
      <c r="A9" s="89" t="n"/>
      <c r="B9" s="48" t="n"/>
      <c r="C9" s="9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Height="1" s="374">
      <c r="A10" s="89" t="n"/>
      <c r="B10" s="48" t="n"/>
      <c r="C10" s="99" t="n"/>
      <c r="D10" s="399" t="n"/>
      <c r="E10" s="39" t="n"/>
      <c r="F10" s="40" t="n"/>
      <c r="G10" s="40" t="n"/>
      <c r="H10" s="398" t="n"/>
      <c r="I10" s="393" t="n"/>
      <c r="J10" s="393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89" t="n"/>
      <c r="B11" s="48" t="n"/>
      <c r="C11" s="99" t="n"/>
      <c r="D11" s="399" t="n"/>
      <c r="E11" s="39" t="n"/>
      <c r="F11" s="40" t="n"/>
      <c r="G11" s="40" t="n"/>
      <c r="H11" s="39" t="n"/>
      <c r="I11" s="393" t="n"/>
      <c r="J11" s="395" t="n"/>
      <c r="K11" s="396" t="n"/>
      <c r="L11" s="429" t="n"/>
      <c r="M11" s="392">
        <f>K11+L11</f>
        <v/>
      </c>
      <c r="N11" s="392" t="n">
        <v>0</v>
      </c>
    </row>
    <row r="12" ht="17.25" customHeight="1" s="374">
      <c r="A12" s="89" t="n"/>
      <c r="B12" s="46" t="n"/>
      <c r="C12" s="99" t="n"/>
      <c r="D12" s="399" t="n"/>
      <c r="E12" s="39" t="n"/>
      <c r="F12" s="40" t="n"/>
      <c r="G12" s="40" t="n"/>
      <c r="H12" s="398" t="n"/>
      <c r="I12" s="393" t="n"/>
      <c r="J12" s="393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89" t="n"/>
      <c r="B13" s="48" t="n"/>
      <c r="C13" s="91" t="n"/>
      <c r="D13" s="448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>
      <c r="A14" s="89" t="n"/>
      <c r="B14" s="46" t="n"/>
      <c r="C14" s="53" t="n"/>
      <c r="D14" s="402" t="n"/>
      <c r="E14" s="39" t="n"/>
      <c r="F14" s="40" t="n"/>
      <c r="G14" s="40" t="n"/>
      <c r="H14" s="39" t="n"/>
      <c r="I14" s="393" t="n"/>
      <c r="J14" s="404" t="n"/>
      <c r="K14" s="392" t="n"/>
      <c r="L14" s="392" t="n"/>
      <c r="M14" s="400">
        <f>K14+L14</f>
        <v/>
      </c>
      <c r="N14" s="392" t="n">
        <v>0</v>
      </c>
    </row>
    <row r="15">
      <c r="A15" s="89" t="n"/>
      <c r="B15" s="8" t="n"/>
      <c r="C15" s="53" t="n"/>
      <c r="D15" s="381" t="n"/>
      <c r="E15" s="53" t="n"/>
      <c r="F15" s="61" t="n"/>
      <c r="G15" s="61" t="n"/>
      <c r="H15" s="53" t="n"/>
      <c r="I15" s="403" t="n"/>
      <c r="J15" s="406" t="n"/>
      <c r="K15" s="400" t="n"/>
      <c r="L15" s="400" t="n"/>
      <c r="M15" s="400">
        <f>K15+L15</f>
        <v/>
      </c>
      <c r="N15" s="392" t="n">
        <v>0</v>
      </c>
    </row>
    <row r="16">
      <c r="A16" s="89" t="n"/>
      <c r="B16" s="62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89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89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89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89" t="n"/>
      <c r="B20" s="62" t="n"/>
      <c r="C20" s="53" t="n"/>
      <c r="D20" s="407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89" t="n"/>
      <c r="B21" s="62" t="n"/>
      <c r="C21" s="53" t="n"/>
      <c r="D21" s="53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381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427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9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407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38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41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41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38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27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53" t="n"/>
      <c r="D38" s="427" t="n"/>
      <c r="E38" s="53" t="n"/>
      <c r="F38" s="62" t="n"/>
      <c r="G38" s="62" t="n"/>
      <c r="H38" s="53" t="n"/>
      <c r="I38" s="403" t="n"/>
      <c r="J38" s="406" t="n"/>
      <c r="K38" s="400" t="n"/>
      <c r="L38" s="400" t="n"/>
      <c r="M38" s="400">
        <f>K38+L38</f>
        <v/>
      </c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2"/>
  <sheetViews>
    <sheetView zoomScale="55" zoomScaleNormal="55" workbookViewId="0">
      <selection activeCell="N2" sqref="N2:N18"/>
    </sheetView>
  </sheetViews>
  <sheetFormatPr baseColWidth="8" defaultColWidth="8.77734375" defaultRowHeight="16.2"/>
  <cols>
    <col width="9" customWidth="1" style="29" min="1" max="1"/>
    <col width="60.10937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6.2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/>
      <c r="B2" s="131" t="n"/>
      <c r="C2" s="177" t="n"/>
      <c r="D2" s="447" t="n"/>
      <c r="E2" s="91" t="n"/>
      <c r="F2" s="111" t="n"/>
      <c r="G2" s="111" t="n"/>
      <c r="H2" s="91" t="n"/>
      <c r="I2" s="389" t="n"/>
      <c r="J2" s="531" t="n"/>
      <c r="K2" s="463" t="n"/>
      <c r="L2" s="391" t="n"/>
      <c r="M2" s="392">
        <f>K2+L2</f>
        <v/>
      </c>
      <c r="N2" s="392" t="n">
        <v>0</v>
      </c>
    </row>
    <row r="3" ht="17.25" customFormat="1" customHeight="1" s="110">
      <c r="A3" s="147" t="n"/>
      <c r="B3" s="131" t="n"/>
      <c r="C3" s="177" t="n"/>
      <c r="D3" s="447" t="n"/>
      <c r="E3" s="102" t="n"/>
      <c r="F3" s="111" t="n"/>
      <c r="G3" s="111" t="n"/>
      <c r="H3" s="530" t="n"/>
      <c r="I3" s="389" t="n"/>
      <c r="J3" s="393" t="n"/>
      <c r="K3" s="392" t="n"/>
      <c r="L3" s="391" t="n"/>
      <c r="M3" s="392">
        <f>K3+L3</f>
        <v/>
      </c>
      <c r="N3" s="392" t="n">
        <v>0</v>
      </c>
    </row>
    <row r="4" ht="17.25" customFormat="1" customHeight="1" s="110">
      <c r="A4" s="147" t="n"/>
      <c r="B4" s="131" t="n"/>
      <c r="C4" s="177" t="n"/>
      <c r="D4" s="428" t="n"/>
      <c r="E4" s="39" t="n"/>
      <c r="F4" s="111" t="n"/>
      <c r="G4" s="111" t="n"/>
      <c r="H4" s="91" t="n"/>
      <c r="I4" s="389" t="n"/>
      <c r="J4" s="393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147" t="n"/>
      <c r="B5" s="131" t="n"/>
      <c r="C5" s="39" t="n"/>
      <c r="D5" s="399" t="n"/>
      <c r="E5" s="39" t="n"/>
      <c r="F5" s="40" t="n"/>
      <c r="G5" s="40" t="n"/>
      <c r="H5" s="91" t="n"/>
      <c r="I5" s="389" t="n"/>
      <c r="J5" s="358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147" t="n"/>
      <c r="B6" s="131" t="n"/>
      <c r="C6" s="39" t="n"/>
      <c r="D6" s="399" t="n"/>
      <c r="E6" s="39" t="n"/>
      <c r="F6" s="40" t="n"/>
      <c r="G6" s="40" t="n"/>
      <c r="H6" s="91" t="n"/>
      <c r="I6" s="389" t="n"/>
      <c r="J6" s="358" t="n"/>
      <c r="K6" s="392" t="n"/>
      <c r="L6" s="391" t="n"/>
      <c r="M6" s="392">
        <f>K6+L6</f>
        <v/>
      </c>
      <c r="N6" s="392" t="n">
        <v>0</v>
      </c>
    </row>
    <row r="7" ht="17.25" customHeight="1" s="374">
      <c r="A7" s="99" t="n"/>
      <c r="B7" s="46" t="n"/>
      <c r="C7" s="91" t="n"/>
      <c r="D7" s="399" t="n"/>
      <c r="E7" s="39" t="n"/>
      <c r="F7" s="40" t="n"/>
      <c r="G7" s="40" t="n"/>
      <c r="H7" s="39" t="n"/>
      <c r="I7" s="393" t="n"/>
      <c r="J7" s="404" t="n"/>
      <c r="K7" s="396" t="n"/>
      <c r="L7" s="429" t="n"/>
      <c r="M7" s="392">
        <f>K7+L7</f>
        <v/>
      </c>
      <c r="N7" s="392" t="n">
        <v>0</v>
      </c>
    </row>
    <row r="8" ht="17.25" customHeight="1" s="374">
      <c r="A8" s="89" t="n"/>
      <c r="B8" s="46" t="n"/>
      <c r="C8" s="39" t="n"/>
      <c r="D8" s="428" t="n"/>
      <c r="E8" s="39" t="n"/>
      <c r="F8" s="40" t="n"/>
      <c r="G8" s="40" t="n"/>
      <c r="H8" s="39" t="n"/>
      <c r="I8" s="393" t="n"/>
      <c r="J8" s="393" t="n"/>
      <c r="K8" s="392" t="n"/>
      <c r="L8" s="391" t="n"/>
      <c r="M8" s="392">
        <f>K8+L8</f>
        <v/>
      </c>
      <c r="N8" s="392" t="n">
        <v>0</v>
      </c>
    </row>
    <row r="9" ht="17.25" customHeight="1" s="374">
      <c r="A9" s="89" t="n"/>
      <c r="B9" s="48" t="n"/>
      <c r="C9" s="91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>
      <c r="A10" s="45" t="n"/>
      <c r="B10" s="46" t="n"/>
      <c r="C10" s="39" t="n"/>
      <c r="D10" s="405" t="n"/>
      <c r="E10" s="39" t="n"/>
      <c r="F10" s="40" t="n"/>
      <c r="G10" s="40" t="n"/>
      <c r="H10" s="39" t="n"/>
      <c r="I10" s="393" t="n"/>
      <c r="J10" s="404" t="n"/>
      <c r="K10" s="392" t="n"/>
      <c r="L10" s="391" t="n"/>
      <c r="M10" s="400">
        <f>K10+L10</f>
        <v/>
      </c>
      <c r="N10" s="392" t="n">
        <v>0</v>
      </c>
    </row>
    <row r="11">
      <c r="A11" s="45" t="n"/>
      <c r="B11" s="46" t="n"/>
      <c r="C11" s="39" t="n"/>
      <c r="D11" s="405" t="n"/>
      <c r="E11" s="39" t="n"/>
      <c r="F11" s="40" t="n"/>
      <c r="G11" s="40" t="n"/>
      <c r="H11" s="39" t="n"/>
      <c r="I11" s="393" t="n"/>
      <c r="J11" s="404" t="n"/>
      <c r="K11" s="392" t="n"/>
      <c r="L11" s="391" t="n"/>
      <c r="M11" s="400">
        <f>K11+L11</f>
        <v/>
      </c>
      <c r="N11" s="392" t="n">
        <v>0</v>
      </c>
    </row>
    <row r="12">
      <c r="A12" s="45" t="n"/>
      <c r="B12" s="46" t="n"/>
      <c r="C12" s="39" t="n"/>
      <c r="D12" s="399" t="n"/>
      <c r="E12" s="39" t="n"/>
      <c r="F12" s="40" t="n"/>
      <c r="G12" s="40" t="n"/>
      <c r="H12" s="39" t="n"/>
      <c r="I12" s="393" t="n"/>
      <c r="J12" s="404" t="n"/>
      <c r="K12" s="392" t="n"/>
      <c r="L12" s="392" t="n"/>
      <c r="M12" s="400">
        <f>K12+L12</f>
        <v/>
      </c>
      <c r="N12" s="392" t="n">
        <v>0</v>
      </c>
    </row>
    <row r="13">
      <c r="A13" s="1" t="n"/>
      <c r="B13" s="8" t="n"/>
      <c r="C13" s="53" t="n"/>
      <c r="D13" s="381" t="n"/>
      <c r="E13" s="53" t="n"/>
      <c r="F13" s="61" t="n"/>
      <c r="G13" s="61" t="n"/>
      <c r="H13" s="53" t="n"/>
      <c r="I13" s="403" t="n"/>
      <c r="J13" s="406" t="n"/>
      <c r="K13" s="400" t="n"/>
      <c r="L13" s="400" t="n"/>
      <c r="M13" s="400">
        <f>K13+L13</f>
        <v/>
      </c>
      <c r="N13" s="392" t="n">
        <v>0</v>
      </c>
    </row>
    <row r="14">
      <c r="A14" s="51" t="n"/>
      <c r="B14" s="62" t="n"/>
      <c r="C14" s="53" t="n"/>
      <c r="D14" s="381" t="n"/>
      <c r="E14" s="53" t="n"/>
      <c r="F14" s="61" t="n"/>
      <c r="G14" s="61" t="n"/>
      <c r="H14" s="53" t="n"/>
      <c r="I14" s="403" t="n"/>
      <c r="J14" s="406" t="n"/>
      <c r="K14" s="400" t="n"/>
      <c r="L14" s="400" t="n"/>
      <c r="M14" s="400">
        <f>K14+L14</f>
        <v/>
      </c>
      <c r="N14" s="392" t="n">
        <v>0</v>
      </c>
    </row>
    <row r="15">
      <c r="A15" s="51" t="n"/>
      <c r="B15" s="62" t="n"/>
      <c r="C15" s="53" t="n"/>
      <c r="D15" s="381" t="n"/>
      <c r="E15" s="53" t="n"/>
      <c r="F15" s="61" t="n"/>
      <c r="G15" s="61" t="n"/>
      <c r="H15" s="53" t="n"/>
      <c r="I15" s="403" t="n"/>
      <c r="J15" s="406" t="n"/>
      <c r="K15" s="400" t="n"/>
      <c r="L15" s="400" t="n"/>
      <c r="M15" s="400">
        <f>K15+L15</f>
        <v/>
      </c>
      <c r="N15" s="392" t="n">
        <v>0</v>
      </c>
    </row>
    <row r="16">
      <c r="A16" s="51" t="n"/>
      <c r="B16" s="62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407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53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2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9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407" t="n"/>
      <c r="E26" s="10" t="n"/>
      <c r="F26" s="61" t="n"/>
      <c r="G26" s="61" t="n"/>
      <c r="H26" s="10" t="n"/>
      <c r="I26" s="412" t="n"/>
      <c r="J26" s="409" t="n"/>
      <c r="K26" s="410" t="n"/>
      <c r="L26" s="410" t="n"/>
      <c r="M26" s="400">
        <f>K26+L26</f>
        <v/>
      </c>
      <c r="N26" s="392" t="n">
        <v>0</v>
      </c>
    </row>
    <row r="27">
      <c r="A27" s="14" t="n"/>
      <c r="B27" s="15" t="n"/>
      <c r="C27" s="10" t="n"/>
      <c r="D27" s="381" t="n"/>
      <c r="E27" s="10" t="n"/>
      <c r="F27" s="61" t="n"/>
      <c r="G27" s="61" t="n"/>
      <c r="H27" s="10" t="n"/>
      <c r="I27" s="412" t="n"/>
      <c r="J27" s="409" t="n"/>
      <c r="K27" s="410" t="n"/>
      <c r="L27" s="410" t="n"/>
      <c r="M27" s="400">
        <f>K27+L27</f>
        <v/>
      </c>
      <c r="N27" s="392" t="n">
        <v>0</v>
      </c>
    </row>
    <row r="28">
      <c r="A28" s="14" t="n"/>
      <c r="B28" s="15" t="n"/>
      <c r="C28" s="10" t="n"/>
      <c r="D28" s="411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14" t="n"/>
      <c r="B29" s="15" t="n"/>
      <c r="C29" s="10" t="n"/>
      <c r="D29" s="411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38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7" t="n"/>
      <c r="B31" s="18" t="n"/>
      <c r="C31" s="10" t="n"/>
      <c r="D31" s="402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7" t="n"/>
      <c r="B32" s="18" t="n"/>
      <c r="C32" s="10" t="n"/>
      <c r="D32" s="402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7" t="n"/>
      <c r="B33" s="18" t="n"/>
      <c r="C33" s="10" t="n"/>
      <c r="D33" s="402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427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4" t="n"/>
      <c r="B35" s="15" t="n"/>
      <c r="C35" s="53" t="n"/>
      <c r="D35" s="427" t="n"/>
      <c r="E35" s="53" t="n"/>
      <c r="F35" s="62" t="n"/>
      <c r="G35" s="62" t="n"/>
      <c r="H35" s="53" t="n"/>
      <c r="I35" s="403" t="n"/>
      <c r="J35" s="406" t="n"/>
      <c r="K35" s="400" t="n"/>
      <c r="L35" s="400" t="n"/>
      <c r="M35" s="400">
        <f>K35+L35</f>
        <v/>
      </c>
      <c r="N35" s="392" t="n">
        <v>0</v>
      </c>
    </row>
    <row r="36">
      <c r="A36" s="51" t="n"/>
      <c r="B36" s="62" t="n"/>
      <c r="C36" s="53" t="n"/>
      <c r="D36" s="381" t="n"/>
      <c r="E36" s="53" t="n"/>
      <c r="F36" s="62" t="n"/>
      <c r="G36" s="62" t="n"/>
      <c r="H36" s="53" t="n"/>
      <c r="I36" s="403" t="n"/>
      <c r="J36" s="406" t="n"/>
      <c r="K36" s="400" t="n"/>
      <c r="L36" s="400" t="n"/>
      <c r="M36" s="400">
        <f>K36+L36</f>
        <v/>
      </c>
      <c r="N36" s="392" t="n"/>
    </row>
    <row r="37">
      <c r="A37" s="20" t="n"/>
      <c r="B37" s="21" t="n"/>
      <c r="C37" s="22" t="n"/>
      <c r="D37" s="21" t="n"/>
      <c r="E37" s="21" t="n"/>
      <c r="F37" s="21" t="n"/>
      <c r="G37" s="21" t="n"/>
      <c r="H37" s="21" t="n"/>
      <c r="I37" s="416" t="n"/>
      <c r="J37" s="420" t="n"/>
      <c r="K37" s="421" t="n"/>
      <c r="L37" s="421" t="n"/>
      <c r="M37" s="421" t="n"/>
      <c r="N37" s="392" t="n"/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J38" s="420" t="n"/>
      <c r="K38" s="421" t="n"/>
      <c r="L38" s="421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J39" s="420" t="n"/>
      <c r="K39" s="421" t="n"/>
      <c r="L39" s="421" t="n"/>
      <c r="M39" s="424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SUM(M2:M37)</f>
        <v/>
      </c>
      <c r="N40" s="423">
        <f>SUM(N2:N36)</f>
        <v/>
      </c>
    </row>
    <row r="41">
      <c r="C41" s="30" t="n"/>
    </row>
    <row r="42">
      <c r="C42" s="30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60" zoomScaleNormal="60" workbookViewId="0">
      <selection activeCell="N2" sqref="N2:N19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5.2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47" t="n"/>
      <c r="B2" s="131" t="n"/>
      <c r="C2" s="91" t="n"/>
      <c r="D2" s="399" t="n"/>
      <c r="E2" s="91" t="n"/>
      <c r="F2" s="111" t="n"/>
      <c r="G2" s="111" t="n"/>
      <c r="H2" s="91" t="n"/>
      <c r="I2" s="389" t="n"/>
      <c r="J2" s="404" t="n"/>
      <c r="K2" s="532" t="n"/>
      <c r="L2" s="391" t="n"/>
      <c r="M2" s="392">
        <f>K2+L2</f>
        <v/>
      </c>
      <c r="N2" s="392" t="n">
        <v>0</v>
      </c>
    </row>
    <row r="3" ht="17.25" customFormat="1" customHeight="1" s="110">
      <c r="A3" s="147" t="n"/>
      <c r="B3" s="131" t="n"/>
      <c r="C3" s="91" t="n"/>
      <c r="D3" s="399" t="n"/>
      <c r="E3" s="91" t="n"/>
      <c r="F3" s="111" t="n"/>
      <c r="G3" s="111" t="n"/>
      <c r="H3" s="91" t="n"/>
      <c r="I3" s="389" t="n"/>
      <c r="J3" s="404" t="n"/>
      <c r="K3" s="532" t="n"/>
      <c r="L3" s="391" t="n"/>
      <c r="M3" s="392">
        <f>K3+L3</f>
        <v/>
      </c>
      <c r="N3" s="392" t="n">
        <v>0</v>
      </c>
    </row>
    <row r="4" ht="17.25" customFormat="1" customHeight="1" s="110">
      <c r="A4" s="99" t="n"/>
      <c r="B4" s="98" t="n"/>
      <c r="C4" s="91" t="n"/>
      <c r="D4" s="428" t="n"/>
      <c r="E4" s="39" t="n"/>
      <c r="F4" s="111" t="n"/>
      <c r="G4" s="111" t="n"/>
      <c r="H4" s="91" t="n"/>
      <c r="I4" s="389" t="n"/>
      <c r="J4" s="533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99" t="n"/>
      <c r="B5" s="48" t="n"/>
      <c r="C5" s="99" t="n"/>
      <c r="D5" s="399" t="n"/>
      <c r="E5" s="39" t="n"/>
      <c r="F5" s="40" t="n"/>
      <c r="G5" s="40" t="n"/>
      <c r="H5" s="91" t="n"/>
      <c r="I5" s="389" t="n"/>
      <c r="J5" s="533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99" t="n"/>
      <c r="B6" s="48" t="n"/>
      <c r="C6" s="99" t="n"/>
      <c r="D6" s="399" t="n"/>
      <c r="E6" s="39" t="n"/>
      <c r="F6" s="40" t="n"/>
      <c r="G6" s="40" t="n"/>
      <c r="H6" s="91" t="n"/>
      <c r="I6" s="389" t="n"/>
      <c r="J6" s="533" t="n"/>
      <c r="K6" s="392" t="n"/>
      <c r="L6" s="391" t="n"/>
      <c r="M6" s="392">
        <f>K6+L6</f>
        <v/>
      </c>
      <c r="N6" s="392" t="n">
        <v>0</v>
      </c>
    </row>
    <row r="7" ht="17.25" customFormat="1" customHeight="1" s="110">
      <c r="A7" s="99" t="n"/>
      <c r="B7" s="48" t="n"/>
      <c r="C7" s="99" t="n"/>
      <c r="D7" s="448" t="n"/>
      <c r="E7" s="39" t="n"/>
      <c r="F7" s="40" t="n"/>
      <c r="G7" s="40" t="n"/>
      <c r="H7" s="39" t="n"/>
      <c r="I7" s="393" t="n"/>
      <c r="J7" s="533" t="n"/>
      <c r="K7" s="392" t="n"/>
      <c r="L7" s="391" t="n"/>
      <c r="M7" s="392">
        <f>K7+L7</f>
        <v/>
      </c>
      <c r="N7" s="392" t="n">
        <v>0</v>
      </c>
    </row>
    <row r="8" ht="17.25" customFormat="1" customHeight="1" s="110">
      <c r="A8" s="89" t="n"/>
      <c r="B8" s="48" t="n"/>
      <c r="C8" s="165" t="n"/>
      <c r="D8" s="456" t="n"/>
      <c r="E8" s="102" t="n"/>
      <c r="F8" s="40" t="n"/>
      <c r="G8" s="40" t="n"/>
      <c r="H8" s="39" t="n"/>
      <c r="I8" s="393" t="n"/>
      <c r="J8" s="533" t="n"/>
      <c r="K8" s="392" t="n"/>
      <c r="L8" s="391" t="n"/>
      <c r="M8" s="392">
        <f>K8+L8</f>
        <v/>
      </c>
      <c r="N8" s="392" t="n">
        <v>0</v>
      </c>
    </row>
    <row r="9" ht="17.25" customHeight="1" s="374">
      <c r="A9" s="147" t="n"/>
      <c r="B9" s="131" t="n"/>
      <c r="C9" s="91" t="n"/>
      <c r="D9" s="91" t="n"/>
      <c r="E9" s="91" t="n"/>
      <c r="F9" s="111" t="n"/>
      <c r="G9" s="111" t="n"/>
      <c r="H9" s="91" t="n"/>
      <c r="I9" s="389" t="n"/>
      <c r="J9" s="395" t="n"/>
      <c r="K9" s="396" t="n"/>
      <c r="L9" s="429" t="n"/>
      <c r="M9" s="392">
        <f>K9+L9</f>
        <v/>
      </c>
      <c r="N9" s="392" t="n">
        <v>0</v>
      </c>
    </row>
    <row r="10" ht="17.25" customHeight="1" s="374">
      <c r="A10" s="99" t="n"/>
      <c r="B10" s="98" t="n"/>
      <c r="C10" s="91" t="n"/>
      <c r="D10" s="99" t="n"/>
      <c r="E10" s="102" t="n"/>
      <c r="F10" s="111" t="n"/>
      <c r="G10" s="111" t="n"/>
      <c r="H10" s="91" t="n"/>
      <c r="I10" s="389" t="n"/>
      <c r="J10" s="395" t="n"/>
      <c r="K10" s="396" t="n"/>
      <c r="L10" s="429" t="n"/>
      <c r="M10" s="392">
        <f>K10+L10</f>
        <v/>
      </c>
      <c r="N10" s="392" t="n">
        <v>0</v>
      </c>
    </row>
    <row r="11" ht="17.25" customHeight="1" s="374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395" t="n"/>
      <c r="K11" s="396" t="n"/>
      <c r="L11" s="429" t="n"/>
      <c r="M11" s="392">
        <f>K11+L11</f>
        <v/>
      </c>
      <c r="N11" s="392" t="n">
        <v>0</v>
      </c>
    </row>
    <row r="12" ht="17.25" customHeight="1" s="374">
      <c r="A12" s="89" t="n"/>
      <c r="B12" s="48" t="n"/>
      <c r="C12" s="39" t="n"/>
      <c r="D12" s="399" t="n"/>
      <c r="E12" s="39" t="n"/>
      <c r="F12" s="40" t="n"/>
      <c r="G12" s="40" t="n"/>
      <c r="H12" s="39" t="n"/>
      <c r="I12" s="393" t="n"/>
      <c r="J12" s="395" t="n"/>
      <c r="K12" s="396" t="n"/>
      <c r="L12" s="429" t="n"/>
      <c r="M12" s="392">
        <f>K12+L12</f>
        <v/>
      </c>
      <c r="N12" s="392" t="n">
        <v>0</v>
      </c>
    </row>
    <row r="13" ht="17.25" customHeight="1" s="374">
      <c r="A13" s="99" t="n"/>
      <c r="B13" s="98" t="n"/>
      <c r="C13" s="91" t="n"/>
      <c r="D13" s="99" t="n"/>
      <c r="E13" s="102" t="n"/>
      <c r="F13" s="111" t="n"/>
      <c r="G13" s="111" t="n"/>
      <c r="H13" s="91" t="n"/>
      <c r="I13" s="389" t="n"/>
      <c r="J13" s="395" t="n"/>
      <c r="K13" s="396" t="n"/>
      <c r="L13" s="429" t="n"/>
      <c r="M13" s="392">
        <f>K13+L13</f>
        <v/>
      </c>
      <c r="N13" s="392" t="n">
        <v>0</v>
      </c>
    </row>
    <row r="14" ht="18" customHeight="1" s="374">
      <c r="A14" s="147" t="n"/>
      <c r="B14" s="48" t="n"/>
      <c r="C14" s="99" t="n"/>
      <c r="D14" s="399" t="n"/>
      <c r="E14" s="39" t="n"/>
      <c r="F14" s="40" t="n"/>
      <c r="G14" s="40" t="n"/>
      <c r="H14" s="91" t="n"/>
      <c r="I14" s="389" t="n"/>
      <c r="J14" s="533" t="n"/>
      <c r="K14" s="392" t="n"/>
      <c r="L14" s="391" t="n"/>
      <c r="M14" s="392">
        <f>K14+L14</f>
        <v/>
      </c>
      <c r="N14" s="392" t="n">
        <v>0</v>
      </c>
    </row>
    <row r="15" ht="18.75" customHeight="1" s="374">
      <c r="A15" s="89" t="n"/>
      <c r="B15" s="48" t="n"/>
      <c r="C15" s="99" t="n"/>
      <c r="D15" s="448" t="n"/>
      <c r="E15" s="39" t="n"/>
      <c r="F15" s="40" t="n"/>
      <c r="G15" s="40" t="n"/>
      <c r="H15" s="39" t="n"/>
      <c r="I15" s="393" t="n"/>
      <c r="J15" s="533" t="n"/>
      <c r="K15" s="392" t="n"/>
      <c r="L15" s="391" t="n"/>
      <c r="M15" s="392">
        <f>K15+L15</f>
        <v/>
      </c>
      <c r="N15" s="392" t="n">
        <v>0</v>
      </c>
    </row>
    <row r="16" ht="17.25" customHeight="1" s="374">
      <c r="A16" s="89" t="n"/>
      <c r="B16" s="48" t="n"/>
      <c r="C16" s="99" t="n"/>
      <c r="D16" s="448" t="n"/>
      <c r="E16" s="39" t="n"/>
      <c r="F16" s="40" t="n"/>
      <c r="G16" s="40" t="n"/>
      <c r="H16" s="39" t="n"/>
      <c r="I16" s="393" t="n"/>
      <c r="J16" s="533" t="n"/>
      <c r="K16" s="392" t="n"/>
      <c r="L16" s="391" t="n"/>
      <c r="M16" s="392">
        <f>K16+L16</f>
        <v/>
      </c>
      <c r="N16" s="392" t="n">
        <v>0</v>
      </c>
    </row>
    <row r="17">
      <c r="A17" s="51" t="n"/>
      <c r="B17" s="62" t="n"/>
      <c r="C17" s="53" t="n"/>
      <c r="D17" s="381" t="n"/>
      <c r="E17" s="53" t="n"/>
      <c r="F17" s="61" t="n"/>
      <c r="G17" s="61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42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9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407" t="n"/>
      <c r="E28" s="10" t="n"/>
      <c r="F28" s="61" t="n"/>
      <c r="G28" s="61" t="n"/>
      <c r="H28" s="10" t="n"/>
      <c r="I28" s="412" t="n"/>
      <c r="J28" s="409" t="n"/>
      <c r="K28" s="410" t="n"/>
      <c r="L28" s="410" t="n"/>
      <c r="M28" s="400">
        <f>K28+L28</f>
        <v/>
      </c>
      <c r="N28" s="392" t="n">
        <v>0</v>
      </c>
    </row>
    <row r="29">
      <c r="A29" s="14" t="n"/>
      <c r="B29" s="15" t="n"/>
      <c r="C29" s="10" t="n"/>
      <c r="D29" s="381" t="n"/>
      <c r="E29" s="10" t="n"/>
      <c r="F29" s="61" t="n"/>
      <c r="G29" s="61" t="n"/>
      <c r="H29" s="10" t="n"/>
      <c r="I29" s="412" t="n"/>
      <c r="J29" s="409" t="n"/>
      <c r="K29" s="410" t="n"/>
      <c r="L29" s="410" t="n"/>
      <c r="M29" s="400">
        <f>K29+L29</f>
        <v/>
      </c>
      <c r="N29" s="392" t="n">
        <v>0</v>
      </c>
    </row>
    <row r="30">
      <c r="A30" s="14" t="n"/>
      <c r="B30" s="15" t="n"/>
      <c r="C30" s="10" t="n"/>
      <c r="D30" s="411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41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38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7" t="n"/>
      <c r="B33" s="18" t="n"/>
      <c r="C33" s="10" t="n"/>
      <c r="D33" s="402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7" t="n"/>
      <c r="B34" s="18" t="n"/>
      <c r="C34" s="10" t="n"/>
      <c r="D34" s="402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27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53" t="n"/>
      <c r="D38" s="427" t="n"/>
      <c r="E38" s="53" t="n"/>
      <c r="F38" s="62" t="n"/>
      <c r="G38" s="62" t="n"/>
      <c r="H38" s="53" t="n"/>
      <c r="I38" s="403" t="n"/>
      <c r="J38" s="406" t="n"/>
      <c r="K38" s="400" t="n"/>
      <c r="L38" s="400" t="n"/>
      <c r="M38" s="400">
        <f>K38+L38</f>
        <v/>
      </c>
      <c r="N38" s="392" t="n">
        <v>0</v>
      </c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34"/>
  <sheetViews>
    <sheetView topLeftCell="A16" zoomScale="70" zoomScaleNormal="70" workbookViewId="0">
      <selection activeCell="J23" sqref="J23"/>
    </sheetView>
  </sheetViews>
  <sheetFormatPr baseColWidth="8" defaultColWidth="8.77734375" defaultRowHeight="16.2"/>
  <cols>
    <col width="9" customWidth="1" style="29" min="1" max="1"/>
    <col width="59.44140625" customWidth="1" style="374" min="3" max="3"/>
    <col width="28.3320312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161" t="n"/>
      <c r="B2" s="135" t="n"/>
      <c r="C2" s="136" t="n"/>
      <c r="D2" s="91" t="n"/>
      <c r="E2" s="136" t="n"/>
      <c r="F2" s="135" t="n"/>
      <c r="G2" s="135" t="n"/>
      <c r="H2" s="136" t="n"/>
      <c r="I2" s="451" t="n"/>
      <c r="J2" s="404" t="n"/>
      <c r="K2" s="397" t="n"/>
      <c r="L2" s="466" t="n"/>
      <c r="M2" s="397">
        <f>K2+L2</f>
        <v/>
      </c>
      <c r="N2" s="392" t="n">
        <v>0</v>
      </c>
    </row>
    <row r="3" ht="17.25" customFormat="1" customHeight="1" s="110">
      <c r="A3" s="161" t="n"/>
      <c r="B3" s="135" t="n"/>
      <c r="C3" s="136" t="n"/>
      <c r="D3" s="91" t="n"/>
      <c r="E3" s="136" t="n"/>
      <c r="F3" s="135" t="n"/>
      <c r="G3" s="135" t="n"/>
      <c r="H3" s="136" t="n"/>
      <c r="I3" s="451" t="n"/>
      <c r="J3" s="404" t="n"/>
      <c r="K3" s="397" t="n"/>
      <c r="L3" s="466" t="n"/>
      <c r="M3" s="397">
        <f>K3+L3</f>
        <v/>
      </c>
      <c r="N3" s="392" t="n">
        <v>0</v>
      </c>
    </row>
    <row r="4" ht="17.25" customFormat="1" customHeight="1" s="110">
      <c r="A4" s="161" t="n"/>
      <c r="B4" s="135" t="n"/>
      <c r="C4" s="136" t="n"/>
      <c r="D4" s="136" t="n"/>
      <c r="E4" s="136" t="n"/>
      <c r="F4" s="135" t="n"/>
      <c r="G4" s="135" t="n"/>
      <c r="H4" s="136" t="n"/>
      <c r="I4" s="451" t="n"/>
      <c r="J4" s="477" t="n"/>
      <c r="K4" s="397" t="n"/>
      <c r="L4" s="466" t="n"/>
      <c r="M4" s="397">
        <f>K4+L4</f>
        <v/>
      </c>
      <c r="N4" s="392" t="n">
        <v>0</v>
      </c>
    </row>
    <row r="5" ht="17.25" customFormat="1" customHeight="1" s="110">
      <c r="A5" s="127" t="n"/>
      <c r="B5" s="135" t="n"/>
      <c r="C5" s="136" t="n"/>
      <c r="D5" s="136" t="n"/>
      <c r="E5" s="162" t="n"/>
      <c r="F5" s="135" t="n"/>
      <c r="G5" s="135" t="n"/>
      <c r="H5" s="136" t="n"/>
      <c r="I5" s="451" t="n"/>
      <c r="J5" s="477" t="n"/>
      <c r="K5" s="396" t="n"/>
      <c r="L5" s="429" t="n"/>
      <c r="M5" s="392">
        <f>K5+L5</f>
        <v/>
      </c>
      <c r="N5" s="392" t="n">
        <v>0</v>
      </c>
    </row>
    <row r="6" ht="17.25" customFormat="1" customHeight="1" s="110">
      <c r="A6" s="127" t="n"/>
      <c r="B6" s="135" t="n"/>
      <c r="C6" s="136" t="n"/>
      <c r="D6" s="127" t="n"/>
      <c r="E6" s="162" t="n"/>
      <c r="F6" s="135" t="n"/>
      <c r="G6" s="135" t="n"/>
      <c r="H6" s="136" t="n"/>
      <c r="I6" s="451" t="n"/>
      <c r="J6" s="395" t="n"/>
      <c r="K6" s="396" t="n"/>
      <c r="L6" s="429" t="n"/>
      <c r="M6" s="392">
        <f>K6+L6</f>
        <v/>
      </c>
      <c r="N6" s="392" t="n">
        <v>0</v>
      </c>
    </row>
    <row r="7" ht="17.25" customFormat="1" customHeight="1" s="110">
      <c r="A7" s="161" t="n"/>
      <c r="B7" s="135" t="n"/>
      <c r="C7" s="127" t="n"/>
      <c r="D7" s="399" t="n"/>
      <c r="E7" s="127" t="n"/>
      <c r="F7" s="128" t="n"/>
      <c r="G7" s="128" t="n"/>
      <c r="H7" s="136" t="n"/>
      <c r="I7" s="451" t="n"/>
      <c r="J7" s="477" t="n"/>
      <c r="K7" s="396" t="n"/>
      <c r="L7" s="429" t="n"/>
      <c r="M7" s="392">
        <f>K7+L7</f>
        <v/>
      </c>
      <c r="N7" s="392" t="n">
        <v>0</v>
      </c>
    </row>
    <row r="8" ht="17.25" customFormat="1" customHeight="1" s="110">
      <c r="A8" s="161" t="n"/>
      <c r="B8" s="135" t="n"/>
      <c r="C8" s="127" t="n"/>
      <c r="D8" s="399" t="n"/>
      <c r="E8" s="127" t="n"/>
      <c r="F8" s="128" t="n"/>
      <c r="G8" s="128" t="n"/>
      <c r="H8" s="136" t="n"/>
      <c r="I8" s="451" t="n"/>
      <c r="J8" s="477" t="n"/>
      <c r="K8" s="396" t="n"/>
      <c r="L8" s="429" t="n"/>
      <c r="M8" s="392">
        <f>K8+L8</f>
        <v/>
      </c>
      <c r="N8" s="392" t="n">
        <v>0</v>
      </c>
    </row>
    <row r="9" ht="17.25" customFormat="1" customHeight="1" s="110">
      <c r="A9" s="89" t="n"/>
      <c r="B9" s="48" t="n"/>
      <c r="C9" s="99" t="n"/>
      <c r="D9" s="399" t="n"/>
      <c r="E9" s="39" t="n"/>
      <c r="F9" s="40" t="n"/>
      <c r="G9" s="40" t="n"/>
      <c r="H9" s="39" t="n"/>
      <c r="I9" s="393" t="n"/>
      <c r="J9" s="404" t="n"/>
      <c r="K9" s="392" t="n"/>
      <c r="L9" s="391" t="n"/>
      <c r="M9" s="392">
        <f>K9+L9</f>
        <v/>
      </c>
      <c r="N9" s="392" t="n">
        <v>0</v>
      </c>
    </row>
    <row r="10" ht="17.25" customFormat="1" customHeight="1" s="110">
      <c r="A10" s="89" t="n"/>
      <c r="B10" s="48" t="n"/>
      <c r="C10" s="99" t="n"/>
      <c r="D10" s="399" t="n"/>
      <c r="E10" s="39" t="n"/>
      <c r="F10" s="40" t="n"/>
      <c r="G10" s="40" t="n"/>
      <c r="H10" s="398" t="n"/>
      <c r="I10" s="393" t="n"/>
      <c r="J10" s="404" t="n"/>
      <c r="K10" s="392" t="n"/>
      <c r="L10" s="391" t="n"/>
      <c r="M10" s="392">
        <f>K10+L10</f>
        <v/>
      </c>
      <c r="N10" s="392" t="n">
        <v>0</v>
      </c>
    </row>
    <row r="11">
      <c r="A11" s="89" t="n"/>
      <c r="B11" s="48" t="n"/>
      <c r="C11" s="39" t="n"/>
      <c r="D11" s="399" t="n"/>
      <c r="E11" s="39" t="n"/>
      <c r="F11" s="40" t="n"/>
      <c r="G11" s="40" t="n"/>
      <c r="H11" s="39" t="n"/>
      <c r="I11" s="393" t="n"/>
      <c r="J11" s="477" t="n"/>
      <c r="K11" s="392" t="n"/>
      <c r="L11" s="391" t="n"/>
      <c r="M11" s="392">
        <f>K11+L11</f>
        <v/>
      </c>
      <c r="N11" s="392" t="n">
        <v>0</v>
      </c>
    </row>
    <row r="12" ht="17.25" customHeight="1" s="374">
      <c r="A12" s="89" t="n"/>
      <c r="B12" s="46" t="n"/>
      <c r="C12" s="91" t="n"/>
      <c r="D12" s="399" t="n"/>
      <c r="E12" s="39" t="n"/>
      <c r="F12" s="40" t="n"/>
      <c r="G12" s="40" t="n"/>
      <c r="H12" s="39" t="n"/>
      <c r="I12" s="393" t="n"/>
      <c r="J12" s="404" t="n"/>
      <c r="K12" s="392" t="n"/>
      <c r="L12" s="391" t="n"/>
      <c r="M12" s="392">
        <f>K12+L12</f>
        <v/>
      </c>
      <c r="N12" s="392" t="n">
        <v>0</v>
      </c>
    </row>
    <row r="13" ht="17.25" customHeight="1" s="374">
      <c r="A13" s="89" t="n"/>
      <c r="B13" s="48" t="n"/>
      <c r="C13" s="91" t="n"/>
      <c r="D13" s="447" t="n"/>
      <c r="E13" s="39" t="n"/>
      <c r="F13" s="40" t="n"/>
      <c r="G13" s="40" t="n"/>
      <c r="H13" s="39" t="n"/>
      <c r="I13" s="393" t="n"/>
      <c r="J13" s="404" t="n"/>
      <c r="K13" s="392" t="n"/>
      <c r="L13" s="391" t="n"/>
      <c r="M13" s="392">
        <f>K13+L13</f>
        <v/>
      </c>
      <c r="N13" s="392" t="n">
        <v>0</v>
      </c>
    </row>
    <row r="14">
      <c r="A14" s="47" t="n"/>
      <c r="B14" s="48" t="n"/>
      <c r="C14" s="39" t="n"/>
      <c r="D14" s="405" t="n"/>
      <c r="E14" s="39" t="n"/>
      <c r="F14" s="40" t="n"/>
      <c r="G14" s="40" t="n"/>
      <c r="H14" s="39" t="n"/>
      <c r="I14" s="393" t="n"/>
      <c r="J14" s="393" t="n"/>
      <c r="K14" s="392" t="n"/>
      <c r="L14" s="391" t="n"/>
      <c r="M14" s="392">
        <f>K14+L14</f>
        <v/>
      </c>
      <c r="N14" s="392" t="n">
        <v>0</v>
      </c>
    </row>
    <row r="15">
      <c r="A15" s="45" t="n"/>
      <c r="B15" s="46" t="n"/>
      <c r="C15" s="39" t="n"/>
      <c r="D15" s="399" t="n"/>
      <c r="E15" s="39" t="n"/>
      <c r="F15" s="40" t="n"/>
      <c r="G15" s="40" t="n"/>
      <c r="H15" s="39" t="n"/>
      <c r="I15" s="393" t="n"/>
      <c r="J15" s="404" t="n"/>
      <c r="K15" s="392" t="n"/>
      <c r="L15" s="392" t="n"/>
      <c r="M15" s="400">
        <f>K15+L15</f>
        <v/>
      </c>
      <c r="N15" s="392" t="n">
        <v>0</v>
      </c>
    </row>
    <row r="16">
      <c r="A16" s="1" t="n"/>
      <c r="B16" s="8" t="n"/>
      <c r="C16" s="53" t="n"/>
      <c r="D16" s="381" t="n"/>
      <c r="E16" s="53" t="n"/>
      <c r="F16" s="61" t="n"/>
      <c r="G16" s="61" t="n"/>
      <c r="H16" s="53" t="n"/>
      <c r="I16" s="403" t="n"/>
      <c r="J16" s="406" t="n"/>
      <c r="K16" s="400" t="n"/>
      <c r="L16" s="400" t="n"/>
      <c r="M16" s="400">
        <f>K16+L16</f>
        <v/>
      </c>
      <c r="N16" s="392" t="n">
        <v>0</v>
      </c>
    </row>
    <row r="17">
      <c r="A17" s="360" t="n"/>
      <c r="B17" s="362" t="n"/>
      <c r="C17" s="361" t="n"/>
      <c r="D17" s="363" t="n"/>
      <c r="E17" s="361" t="n"/>
      <c r="F17" s="364" t="n"/>
      <c r="G17" s="364" t="n"/>
      <c r="H17" s="53" t="n"/>
      <c r="I17" s="403" t="n"/>
      <c r="J17" s="406" t="n"/>
      <c r="K17" s="400" t="n"/>
      <c r="L17" s="400" t="n"/>
      <c r="M17" s="400">
        <f>K17+L17</f>
        <v/>
      </c>
      <c r="N17" s="392" t="n">
        <v>0</v>
      </c>
    </row>
    <row r="18">
      <c r="A18" s="51" t="n"/>
      <c r="B18" s="62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>
      <c r="A21" s="51" t="n"/>
      <c r="B21" s="62" t="n"/>
      <c r="C21" s="53" t="n"/>
      <c r="D21" s="407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>
      <c r="A22" s="51" t="n"/>
      <c r="B22" s="62" t="n"/>
      <c r="C22" s="53" t="n"/>
      <c r="D22" s="53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>
      <c r="A23" s="51" t="n"/>
      <c r="B23" s="62" t="n"/>
      <c r="C23" s="53" t="n"/>
      <c r="D23" s="53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>
      <c r="A24" s="51" t="n"/>
      <c r="B24" s="62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427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149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407" t="n"/>
      <c r="E30" s="10" t="n"/>
      <c r="F30" s="61" t="n"/>
      <c r="G30" s="61" t="n"/>
      <c r="H30" s="10" t="n"/>
      <c r="I30" s="412" t="n"/>
      <c r="J30" s="409" t="n"/>
      <c r="K30" s="410" t="n"/>
      <c r="L30" s="410" t="n"/>
      <c r="M30" s="400">
        <f>K30+L30</f>
        <v/>
      </c>
      <c r="N30" s="392" t="n">
        <v>0</v>
      </c>
    </row>
    <row r="31">
      <c r="A31" s="14" t="n"/>
      <c r="B31" s="15" t="n"/>
      <c r="C31" s="10" t="n"/>
      <c r="D31" s="381" t="n"/>
      <c r="E31" s="10" t="n"/>
      <c r="F31" s="61" t="n"/>
      <c r="G31" s="61" t="n"/>
      <c r="H31" s="10" t="n"/>
      <c r="I31" s="412" t="n"/>
      <c r="J31" s="409" t="n"/>
      <c r="K31" s="410" t="n"/>
      <c r="L31" s="410" t="n"/>
      <c r="M31" s="400">
        <f>K31+L31</f>
        <v/>
      </c>
      <c r="N31" s="392" t="n">
        <v>0</v>
      </c>
    </row>
    <row r="32">
      <c r="A32" s="14" t="n"/>
      <c r="B32" s="15" t="n"/>
      <c r="C32" s="10" t="n"/>
      <c r="D32" s="411" t="n"/>
      <c r="E32" s="10" t="n"/>
      <c r="F32" s="61" t="n"/>
      <c r="G32" s="61" t="n"/>
      <c r="H32" s="10" t="n"/>
      <c r="I32" s="412" t="n"/>
      <c r="J32" s="409" t="n"/>
      <c r="K32" s="410" t="n"/>
      <c r="L32" s="410" t="n"/>
      <c r="M32" s="400">
        <f>K32+L32</f>
        <v/>
      </c>
      <c r="N32" s="392" t="n">
        <v>0</v>
      </c>
    </row>
    <row r="33">
      <c r="A33" s="14" t="n"/>
      <c r="B33" s="15" t="n"/>
      <c r="C33" s="10" t="n"/>
      <c r="D33" s="411" t="n"/>
      <c r="E33" s="10" t="n"/>
      <c r="F33" s="61" t="n"/>
      <c r="G33" s="61" t="n"/>
      <c r="H33" s="10" t="n"/>
      <c r="I33" s="412" t="n"/>
      <c r="J33" s="409" t="n"/>
      <c r="K33" s="410" t="n"/>
      <c r="L33" s="410" t="n"/>
      <c r="M33" s="400">
        <f>K33+L33</f>
        <v/>
      </c>
      <c r="N33" s="392" t="n">
        <v>0</v>
      </c>
    </row>
    <row r="34">
      <c r="A34" s="14" t="n"/>
      <c r="B34" s="15" t="n"/>
      <c r="C34" s="10" t="n"/>
      <c r="D34" s="381" t="n"/>
      <c r="E34" s="10" t="n"/>
      <c r="F34" s="61" t="n"/>
      <c r="G34" s="61" t="n"/>
      <c r="H34" s="10" t="n"/>
      <c r="I34" s="412" t="n"/>
      <c r="J34" s="409" t="n"/>
      <c r="K34" s="410" t="n"/>
      <c r="L34" s="410" t="n"/>
      <c r="M34" s="400">
        <f>K34+L34</f>
        <v/>
      </c>
      <c r="N34" s="392" t="n">
        <v>0</v>
      </c>
    </row>
    <row r="35">
      <c r="A35" s="17" t="n"/>
      <c r="B35" s="18" t="n"/>
      <c r="C35" s="10" t="n"/>
      <c r="D35" s="402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7" t="n"/>
      <c r="B36" s="18" t="n"/>
      <c r="C36" s="10" t="n"/>
      <c r="D36" s="402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7" t="n"/>
      <c r="B37" s="18" t="n"/>
      <c r="C37" s="10" t="n"/>
      <c r="D37" s="402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20" t="n"/>
      <c r="B38" s="21" t="n"/>
      <c r="C38" s="22" t="n"/>
      <c r="D38" s="21" t="n"/>
      <c r="E38" s="21" t="n"/>
      <c r="F38" s="21" t="n"/>
      <c r="G38" s="21" t="n"/>
      <c r="H38" s="21" t="n"/>
      <c r="I38" s="416" t="n"/>
      <c r="J38" s="420" t="n"/>
      <c r="K38" s="421" t="n"/>
      <c r="L38" s="421" t="n"/>
      <c r="M38" s="421" t="n"/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SUM(M2:M38)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34"/>
  <sheetViews>
    <sheetView zoomScale="55" zoomScaleNormal="55" workbookViewId="0">
      <selection activeCell="N2" sqref="N2:N18"/>
    </sheetView>
  </sheetViews>
  <sheetFormatPr baseColWidth="8" defaultColWidth="8.77734375" defaultRowHeight="16.2"/>
  <cols>
    <col width="9" customWidth="1" style="29" min="1" max="1"/>
    <col width="61.33203125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67" t="inlineStr">
        <is>
          <t>Ord No.</t>
        </is>
      </c>
      <c r="B1" s="68" t="inlineStr">
        <is>
          <t>Time</t>
        </is>
      </c>
      <c r="C1" s="2" t="inlineStr">
        <is>
          <t>Trip</t>
        </is>
      </c>
      <c r="D1" s="44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99" t="n"/>
      <c r="B2" s="46" t="n"/>
      <c r="C2" s="91" t="n"/>
      <c r="D2" s="399" t="n"/>
      <c r="E2" s="102" t="n"/>
      <c r="F2" s="40" t="n"/>
      <c r="G2" s="40" t="n"/>
      <c r="H2" s="39" t="n"/>
      <c r="I2" s="393" t="n"/>
      <c r="J2" s="393" t="n"/>
      <c r="K2" s="392" t="n"/>
      <c r="L2" s="472" t="n"/>
      <c r="M2" s="392">
        <f>K2+L2</f>
        <v/>
      </c>
      <c r="N2" s="392" t="n">
        <v>0</v>
      </c>
    </row>
    <row r="3" ht="17.25" customFormat="1" customHeight="1" s="110">
      <c r="A3" s="99" t="n"/>
      <c r="B3" s="46" t="n"/>
      <c r="C3" s="91" t="n"/>
      <c r="D3" s="399" t="n"/>
      <c r="E3" s="102" t="n"/>
      <c r="F3" s="40" t="n"/>
      <c r="G3" s="40" t="n"/>
      <c r="H3" s="39" t="n"/>
      <c r="I3" s="393" t="n"/>
      <c r="J3" s="393" t="n"/>
      <c r="K3" s="392" t="n"/>
      <c r="L3" s="472" t="n"/>
      <c r="M3" s="392">
        <f>K3+L3</f>
        <v/>
      </c>
      <c r="N3" s="392" t="n">
        <v>0</v>
      </c>
    </row>
    <row r="4" ht="17.25" customFormat="1" customHeight="1" s="134">
      <c r="A4" s="89" t="n"/>
      <c r="B4" s="118" t="n"/>
      <c r="C4" s="177" t="n"/>
      <c r="D4" s="399" t="n"/>
      <c r="E4" s="102" t="n"/>
      <c r="F4" s="111" t="n"/>
      <c r="G4" s="111" t="n"/>
      <c r="H4" s="39" t="n"/>
      <c r="I4" s="393" t="n"/>
      <c r="J4" s="393" t="n"/>
      <c r="K4" s="392" t="n"/>
      <c r="L4" s="472" t="n"/>
      <c r="M4" s="392">
        <f>K4+L4</f>
        <v/>
      </c>
      <c r="N4" s="392" t="n">
        <v>0</v>
      </c>
      <c r="O4" s="146" t="n"/>
      <c r="P4" s="146" t="n"/>
    </row>
    <row r="5" ht="17.25" customFormat="1" customHeight="1" s="134">
      <c r="A5" s="89" t="n"/>
      <c r="B5" s="118" t="n"/>
      <c r="C5" s="177" t="n"/>
      <c r="D5" s="399" t="n"/>
      <c r="E5" s="102" t="n"/>
      <c r="F5" s="111" t="n"/>
      <c r="G5" s="111" t="n"/>
      <c r="H5" s="39" t="n"/>
      <c r="I5" s="393" t="n"/>
      <c r="J5" s="393" t="n"/>
      <c r="K5" s="392" t="n"/>
      <c r="L5" s="472" t="n"/>
      <c r="M5" s="392">
        <f>K5+L5</f>
        <v/>
      </c>
      <c r="N5" s="392" t="n">
        <v>0</v>
      </c>
      <c r="O5" s="146" t="n"/>
      <c r="P5" s="146" t="n"/>
    </row>
    <row r="6" ht="17.25" customFormat="1" customHeight="1" s="110">
      <c r="A6" s="99" t="n"/>
      <c r="B6" s="131" t="n"/>
      <c r="C6" s="91" t="n"/>
      <c r="D6" s="399" t="n"/>
      <c r="E6" s="160" t="n"/>
      <c r="F6" s="111" t="n"/>
      <c r="G6" s="111" t="n"/>
      <c r="H6" s="91" t="n"/>
      <c r="I6" s="389" t="n"/>
      <c r="J6" s="395" t="n"/>
      <c r="K6" s="396" t="n"/>
      <c r="L6" s="429" t="n"/>
      <c r="M6" s="392">
        <f>K6+L6</f>
        <v/>
      </c>
      <c r="N6" s="392" t="n">
        <v>0</v>
      </c>
    </row>
    <row r="7" ht="17.25" customFormat="1" customHeight="1" s="110">
      <c r="A7" s="99" t="n"/>
      <c r="B7" s="131" t="n"/>
      <c r="C7" s="91" t="n"/>
      <c r="D7" s="399" t="n"/>
      <c r="E7" s="102" t="n"/>
      <c r="F7" s="111" t="n"/>
      <c r="G7" s="111" t="n"/>
      <c r="H7" s="91" t="n"/>
      <c r="I7" s="389" t="n"/>
      <c r="J7" s="393" t="n"/>
      <c r="K7" s="392" t="n"/>
      <c r="L7" s="472" t="n"/>
      <c r="M7" s="392">
        <f>K7+L7</f>
        <v/>
      </c>
      <c r="N7" s="392" t="n">
        <v>0</v>
      </c>
      <c r="P7" s="110" t="inlineStr">
        <is>
          <t>金鐘-中環-金鐘-高鐵</t>
        </is>
      </c>
    </row>
    <row r="8" ht="17.25" customFormat="1" customHeight="1" s="110">
      <c r="A8" s="45" t="n"/>
      <c r="B8" s="131" t="n"/>
      <c r="C8" s="91" t="n"/>
      <c r="D8" s="91" t="n"/>
      <c r="E8" s="39" t="n"/>
      <c r="F8" s="40" t="n"/>
      <c r="G8" s="40" t="n"/>
      <c r="H8" s="91" t="n"/>
      <c r="I8" s="389" t="n"/>
      <c r="J8" s="393" t="n"/>
      <c r="K8" s="392" t="n"/>
      <c r="L8" s="472" t="n"/>
      <c r="M8" s="392">
        <f>K8+L8</f>
        <v/>
      </c>
      <c r="N8" s="392" t="n">
        <v>0</v>
      </c>
    </row>
    <row r="9" ht="17.25" customFormat="1" customHeight="1" s="110">
      <c r="A9" s="45" t="n"/>
      <c r="B9" s="131" t="n"/>
      <c r="C9" s="91" t="n"/>
      <c r="D9" s="91" t="n"/>
      <c r="E9" s="39" t="n"/>
      <c r="F9" s="40" t="n"/>
      <c r="G9" s="40" t="n"/>
      <c r="H9" s="91" t="n"/>
      <c r="I9" s="389" t="n"/>
      <c r="J9" s="393" t="n"/>
      <c r="K9" s="392" t="n"/>
      <c r="L9" s="472" t="n"/>
      <c r="M9" s="392">
        <f>K9+L9</f>
        <v/>
      </c>
      <c r="N9" s="392" t="n">
        <v>0</v>
      </c>
    </row>
    <row r="10" ht="17.25" customFormat="1" customHeight="1" s="110">
      <c r="A10" s="45" t="n"/>
      <c r="B10" s="131" t="n"/>
      <c r="C10" s="91" t="n"/>
      <c r="D10" s="399" t="n"/>
      <c r="E10" s="428" t="n"/>
      <c r="F10" s="40" t="n"/>
      <c r="G10" s="40" t="n"/>
      <c r="H10" s="428" t="n"/>
      <c r="I10" s="401" t="n"/>
      <c r="J10" s="534" t="n"/>
      <c r="K10" s="471" t="n"/>
      <c r="L10" s="472" t="n"/>
      <c r="M10" s="392">
        <f>K10+L10</f>
        <v/>
      </c>
      <c r="N10" s="392" t="n">
        <v>0</v>
      </c>
    </row>
    <row r="11" ht="17.25" customFormat="1" customHeight="1" s="6">
      <c r="A11" s="89" t="n"/>
      <c r="B11" s="90" t="n"/>
      <c r="C11" s="39" t="n"/>
      <c r="D11" s="399" t="n"/>
      <c r="E11" s="39" t="n"/>
      <c r="F11" s="40" t="n"/>
      <c r="G11" s="40" t="n"/>
      <c r="H11" s="39" t="n"/>
      <c r="I11" s="393" t="n"/>
      <c r="J11" s="393" t="n"/>
      <c r="K11" s="392" t="n"/>
      <c r="L11" s="472" t="n"/>
      <c r="M11" s="392">
        <f>K11+L11</f>
        <v/>
      </c>
      <c r="N11" s="392" t="n">
        <v>0</v>
      </c>
    </row>
    <row r="12" ht="17.25" customFormat="1" customHeight="1" s="6">
      <c r="A12" s="89" t="n"/>
      <c r="B12" s="48" t="n"/>
      <c r="C12" s="91" t="n"/>
      <c r="D12" s="91" t="n"/>
      <c r="E12" s="39" t="n"/>
      <c r="F12" s="40" t="n"/>
      <c r="G12" s="40" t="n"/>
      <c r="H12" s="39" t="n"/>
      <c r="I12" s="393" t="n"/>
      <c r="J12" s="393" t="n"/>
      <c r="K12" s="392" t="n"/>
      <c r="L12" s="472" t="n"/>
      <c r="M12" s="392">
        <f>K12+L12</f>
        <v/>
      </c>
      <c r="N12" s="392" t="n">
        <v>0</v>
      </c>
    </row>
    <row r="13" ht="17.25" customFormat="1" customHeight="1" s="6">
      <c r="A13" s="89" t="n"/>
      <c r="B13" s="48" t="n"/>
      <c r="C13" s="91" t="n"/>
      <c r="D13" s="91" t="n"/>
      <c r="E13" s="39" t="n"/>
      <c r="F13" s="40" t="n"/>
      <c r="G13" s="40" t="n"/>
      <c r="H13" s="39" t="n"/>
      <c r="I13" s="393" t="n"/>
      <c r="J13" s="393" t="n"/>
      <c r="K13" s="392" t="n"/>
      <c r="L13" s="472" t="n"/>
      <c r="M13" s="392">
        <f>K13+L13</f>
        <v/>
      </c>
      <c r="N13" s="392" t="n">
        <v>0</v>
      </c>
    </row>
    <row r="14" ht="17.25" customHeight="1" s="374">
      <c r="A14" s="120" t="n"/>
      <c r="B14" s="48" t="n"/>
      <c r="C14" s="91" t="n"/>
      <c r="D14" s="399" t="n"/>
      <c r="E14" s="39" t="n"/>
      <c r="F14" s="40" t="n"/>
      <c r="G14" s="40" t="n"/>
      <c r="H14" s="398" t="n"/>
      <c r="I14" s="393" t="n"/>
      <c r="J14" s="404" t="n"/>
      <c r="K14" s="392" t="n"/>
      <c r="L14" s="472" t="n"/>
      <c r="M14" s="392">
        <f>K14+L14</f>
        <v/>
      </c>
      <c r="N14" s="392" t="n">
        <v>0</v>
      </c>
    </row>
    <row r="15" ht="17.25" customHeight="1" s="374">
      <c r="A15" s="47" t="n"/>
      <c r="B15" s="48" t="n"/>
      <c r="C15" s="39" t="n"/>
      <c r="D15" s="399" t="n"/>
      <c r="E15" s="39" t="n"/>
      <c r="F15" s="40" t="n"/>
      <c r="G15" s="40" t="n"/>
      <c r="H15" s="39" t="n"/>
      <c r="I15" s="393" t="n"/>
      <c r="J15" s="455" t="n"/>
      <c r="K15" s="392" t="n"/>
      <c r="L15" s="391" t="n"/>
      <c r="M15" s="392">
        <f>K15+L15</f>
        <v/>
      </c>
      <c r="N15" s="392" t="n">
        <v>0</v>
      </c>
    </row>
    <row r="16" customFormat="1" s="6">
      <c r="A16" s="51" t="n"/>
      <c r="B16" s="52" t="n"/>
      <c r="C16" s="53" t="n"/>
      <c r="D16" s="402" t="n"/>
      <c r="E16" s="53" t="n"/>
      <c r="F16" s="54" t="n"/>
      <c r="G16" s="54" t="n"/>
      <c r="H16" s="53" t="n"/>
      <c r="I16" s="403" t="n"/>
      <c r="J16" s="406" t="n"/>
      <c r="K16" s="400" t="n"/>
      <c r="L16" s="435" t="n"/>
      <c r="M16" s="400">
        <f>K16+L16</f>
        <v/>
      </c>
      <c r="N16" s="392" t="n">
        <v>0</v>
      </c>
    </row>
    <row r="17">
      <c r="A17" s="1" t="n"/>
      <c r="B17" s="52" t="n"/>
      <c r="C17" s="53" t="n"/>
      <c r="D17" s="402" t="n"/>
      <c r="E17" s="53" t="n"/>
      <c r="F17" s="54" t="n"/>
      <c r="G17" s="54" t="n"/>
      <c r="H17" s="53" t="n"/>
      <c r="I17" s="403" t="n"/>
      <c r="J17" s="406" t="n"/>
      <c r="K17" s="400" t="n"/>
      <c r="L17" s="435" t="n"/>
      <c r="M17" s="400">
        <f>K17+L17</f>
        <v/>
      </c>
      <c r="N17" s="392" t="n">
        <v>0</v>
      </c>
    </row>
    <row r="18">
      <c r="A18" s="51" t="n"/>
      <c r="B18" s="52" t="n"/>
      <c r="C18" s="53" t="n"/>
      <c r="D18" s="402" t="n"/>
      <c r="E18" s="53" t="n"/>
      <c r="F18" s="54" t="n"/>
      <c r="G18" s="54" t="n"/>
      <c r="H18" s="408" t="n"/>
      <c r="I18" s="403" t="n"/>
      <c r="J18" s="406" t="n"/>
      <c r="K18" s="400" t="n"/>
      <c r="L18" s="435" t="n"/>
      <c r="M18" s="400">
        <f>K18+L18</f>
        <v/>
      </c>
      <c r="N18" s="392" t="n">
        <v>0</v>
      </c>
    </row>
    <row r="19">
      <c r="A19" s="59" t="n"/>
      <c r="B19" s="52" t="n"/>
      <c r="C19" s="53" t="n"/>
      <c r="D19" s="402" t="n"/>
      <c r="E19" s="53" t="n"/>
      <c r="F19" s="54" t="n"/>
      <c r="G19" s="54" t="n"/>
      <c r="H19" s="53" t="n"/>
      <c r="I19" s="403" t="n"/>
      <c r="J19" s="406" t="n"/>
      <c r="K19" s="400" t="n"/>
      <c r="L19" s="435" t="n"/>
      <c r="M19" s="400">
        <f>K19+L19</f>
        <v/>
      </c>
      <c r="N19" s="392" t="n">
        <v>0</v>
      </c>
    </row>
    <row r="20">
      <c r="A20" s="45" t="n"/>
      <c r="B20" s="48" t="n"/>
      <c r="C20" s="39" t="n"/>
      <c r="D20" s="399" t="n"/>
      <c r="E20" s="39" t="n"/>
      <c r="F20" s="40" t="n"/>
      <c r="G20" s="40" t="n"/>
      <c r="H20" s="39" t="n"/>
      <c r="I20" s="393" t="n"/>
      <c r="J20" s="404" t="n"/>
      <c r="K20" s="392" t="n"/>
      <c r="L20" s="391" t="n"/>
      <c r="M20" s="400">
        <f>K20+L20</f>
        <v/>
      </c>
      <c r="N20" s="392" t="n">
        <v>0</v>
      </c>
    </row>
    <row r="21">
      <c r="A21" s="45" t="n"/>
      <c r="B21" s="46" t="n"/>
      <c r="C21" s="39" t="n"/>
      <c r="D21" s="405" t="n"/>
      <c r="E21" s="39" t="n"/>
      <c r="F21" s="40" t="n"/>
      <c r="G21" s="40" t="n"/>
      <c r="H21" s="39" t="n"/>
      <c r="I21" s="393" t="n"/>
      <c r="J21" s="404" t="n"/>
      <c r="K21" s="392" t="n"/>
      <c r="L21" s="391" t="n"/>
      <c r="M21" s="400">
        <f>K21+L21</f>
        <v/>
      </c>
      <c r="N21" s="392" t="n">
        <v>0</v>
      </c>
    </row>
    <row r="22">
      <c r="A22" s="47" t="n"/>
      <c r="B22" s="48" t="n"/>
      <c r="C22" s="39" t="n"/>
      <c r="D22" s="405" t="n"/>
      <c r="E22" s="39" t="n"/>
      <c r="F22" s="40" t="n"/>
      <c r="G22" s="40" t="n"/>
      <c r="H22" s="39" t="n"/>
      <c r="I22" s="393" t="n"/>
      <c r="J22" s="404" t="n"/>
      <c r="K22" s="392" t="n"/>
      <c r="L22" s="391" t="n"/>
      <c r="M22" s="400">
        <f>K22+L22</f>
        <v/>
      </c>
      <c r="N22" s="392" t="n">
        <v>0</v>
      </c>
    </row>
    <row r="23">
      <c r="A23" s="45" t="n"/>
      <c r="B23" s="46" t="n"/>
      <c r="C23" s="39" t="n"/>
      <c r="D23" s="399" t="n"/>
      <c r="E23" s="39" t="n"/>
      <c r="F23" s="40" t="n"/>
      <c r="G23" s="40" t="n"/>
      <c r="H23" s="39" t="n"/>
      <c r="I23" s="393" t="n"/>
      <c r="J23" s="404" t="n"/>
      <c r="K23" s="392" t="n"/>
      <c r="L23" s="392" t="n"/>
      <c r="M23" s="400">
        <f>K23+L23</f>
        <v/>
      </c>
      <c r="N23" s="392" t="n">
        <v>0</v>
      </c>
    </row>
    <row r="24">
      <c r="A24" s="1" t="n"/>
      <c r="B24" s="8" t="n"/>
      <c r="C24" s="53" t="n"/>
      <c r="D24" s="381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>
      <c r="A27" s="51" t="n"/>
      <c r="B27" s="62" t="n"/>
      <c r="C27" s="53" t="n"/>
      <c r="D27" s="381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381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407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53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53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381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51" t="n"/>
      <c r="B33" s="62" t="n"/>
      <c r="C33" s="53" t="n"/>
      <c r="D33" s="427" t="n"/>
      <c r="E33" s="53" t="n"/>
      <c r="F33" s="61" t="n"/>
      <c r="G33" s="61" t="n"/>
      <c r="H33" s="53" t="n"/>
      <c r="I33" s="403" t="n"/>
      <c r="J33" s="406" t="n"/>
      <c r="K33" s="400" t="n"/>
      <c r="L33" s="400" t="n"/>
      <c r="M33" s="400">
        <f>K33+L33</f>
        <v/>
      </c>
      <c r="N33" s="392" t="n">
        <v>0</v>
      </c>
    </row>
    <row r="34">
      <c r="A34" s="51" t="n"/>
      <c r="B34" s="62" t="n"/>
      <c r="C34" s="53" t="n"/>
      <c r="D34" s="381" t="n"/>
      <c r="E34" s="53" t="n"/>
      <c r="F34" s="61" t="n"/>
      <c r="G34" s="61" t="n"/>
      <c r="H34" s="53" t="n"/>
      <c r="I34" s="403" t="n"/>
      <c r="J34" s="406" t="n"/>
      <c r="K34" s="400" t="n"/>
      <c r="L34" s="400" t="n"/>
      <c r="M34" s="400">
        <f>K34+L34</f>
        <v/>
      </c>
      <c r="N34" s="392" t="n">
        <v>0</v>
      </c>
    </row>
    <row r="35">
      <c r="A35" s="51" t="n"/>
      <c r="B35" s="62" t="n"/>
      <c r="C35" s="53" t="n"/>
      <c r="D35" s="9" t="n"/>
      <c r="E35" s="53" t="n"/>
      <c r="F35" s="61" t="n"/>
      <c r="G35" s="61" t="n"/>
      <c r="H35" s="53" t="n"/>
      <c r="I35" s="403" t="n"/>
      <c r="J35" s="406" t="n"/>
      <c r="K35" s="400" t="n"/>
      <c r="L35" s="400" t="n"/>
      <c r="M35" s="400">
        <f>K35+L35</f>
        <v/>
      </c>
      <c r="N35" s="392" t="n">
        <v>0</v>
      </c>
    </row>
    <row r="36">
      <c r="A36" s="51" t="n"/>
      <c r="B36" s="62" t="n"/>
      <c r="C36" s="53" t="n"/>
      <c r="D36" s="381" t="n"/>
      <c r="E36" s="53" t="n"/>
      <c r="F36" s="61" t="n"/>
      <c r="G36" s="61" t="n"/>
      <c r="H36" s="53" t="n"/>
      <c r="I36" s="403" t="n"/>
      <c r="J36" s="406" t="n"/>
      <c r="K36" s="400" t="n"/>
      <c r="L36" s="400" t="n"/>
      <c r="M36" s="400">
        <f>K36+L36</f>
        <v/>
      </c>
      <c r="N36" s="392" t="n">
        <v>0</v>
      </c>
    </row>
    <row r="37">
      <c r="A37" s="51" t="n"/>
      <c r="B37" s="62" t="n"/>
      <c r="C37" s="53" t="n"/>
      <c r="D37" s="381" t="n"/>
      <c r="E37" s="53" t="n"/>
      <c r="F37" s="61" t="inlineStr">
        <is>
          <t>:</t>
        </is>
      </c>
      <c r="G37" s="61" t="n"/>
      <c r="H37" s="53" t="n"/>
      <c r="I37" s="403" t="n"/>
      <c r="J37" s="406" t="n"/>
      <c r="K37" s="400" t="n"/>
      <c r="L37" s="400" t="n"/>
      <c r="M37" s="400">
        <f>K37+L37</f>
        <v/>
      </c>
      <c r="N37" s="392" t="n">
        <v>0</v>
      </c>
    </row>
    <row r="38">
      <c r="A38" s="51" t="n"/>
      <c r="B38" s="62" t="n"/>
      <c r="C38" s="53" t="n"/>
      <c r="D38" s="407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>
        <v>0</v>
      </c>
    </row>
    <row r="39">
      <c r="A39" s="14" t="n"/>
      <c r="B39" s="15" t="n"/>
      <c r="C39" s="10" t="n"/>
      <c r="D39" s="411" t="n"/>
      <c r="E39" s="10" t="n"/>
      <c r="F39" s="61" t="n"/>
      <c r="G39" s="61" t="n"/>
      <c r="H39" s="10" t="n"/>
      <c r="I39" s="412" t="n"/>
      <c r="J39" s="409" t="n"/>
      <c r="K39" s="410" t="n"/>
      <c r="L39" s="410" t="n"/>
      <c r="M39" s="400">
        <f>K39+L39</f>
        <v/>
      </c>
      <c r="N39" s="392" t="n">
        <v>0</v>
      </c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34"/>
  <sheetViews>
    <sheetView zoomScale="55" zoomScaleNormal="55" workbookViewId="0">
      <selection activeCell="N2" sqref="N2:N13"/>
    </sheetView>
  </sheetViews>
  <sheetFormatPr baseColWidth="8" defaultColWidth="8.77734375" defaultRowHeight="16.2"/>
  <cols>
    <col width="9" customWidth="1" style="29" min="1" max="1"/>
    <col width="56" customWidth="1" style="374" min="3" max="3"/>
    <col width="25.21875" customWidth="1" style="374" min="4" max="4"/>
    <col width="9" bestFit="1" customWidth="1" style="374" min="5" max="7"/>
    <col width="11.44140625" bestFit="1" customWidth="1" style="374" min="8" max="8"/>
    <col width="9.44140625" customWidth="1" style="374" min="9" max="9"/>
    <col width="31.88671875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89" t="n"/>
      <c r="B2" s="46" t="n"/>
      <c r="C2" s="91" t="n"/>
      <c r="D2" s="399" t="n"/>
      <c r="E2" s="39" t="n"/>
      <c r="F2" s="40" t="n"/>
      <c r="G2" s="40" t="n"/>
      <c r="H2" s="39" t="n"/>
      <c r="I2" s="393" t="n"/>
      <c r="J2" s="393" t="n"/>
      <c r="K2" s="396" t="n"/>
      <c r="L2" s="429" t="n"/>
      <c r="M2" s="392">
        <f>K2+L2</f>
        <v/>
      </c>
      <c r="N2" s="392" t="n">
        <v>0</v>
      </c>
    </row>
    <row r="3" ht="17.25" customFormat="1" customHeight="1" s="110">
      <c r="A3" s="89" t="n"/>
      <c r="B3" s="48" t="n"/>
      <c r="C3" s="91" t="n"/>
      <c r="D3" s="399" t="n"/>
      <c r="E3" s="39" t="n"/>
      <c r="F3" s="40" t="n"/>
      <c r="G3" s="40" t="n"/>
      <c r="H3" s="39" t="n"/>
      <c r="I3" s="393" t="n"/>
      <c r="J3" s="393" t="n"/>
      <c r="K3" s="396" t="n"/>
      <c r="L3" s="429" t="n"/>
      <c r="M3" s="392">
        <f>K3+L3</f>
        <v/>
      </c>
      <c r="N3" s="392" t="n">
        <v>0</v>
      </c>
    </row>
    <row r="4" ht="17.25" customFormat="1" customHeight="1" s="110">
      <c r="A4" s="89" t="n"/>
      <c r="B4" s="90" t="n"/>
      <c r="C4" s="99" t="n"/>
      <c r="D4" s="399" t="n"/>
      <c r="E4" s="39" t="n"/>
      <c r="F4" s="40" t="n"/>
      <c r="G4" s="40" t="n"/>
      <c r="H4" s="39" t="n"/>
      <c r="I4" s="393" t="n"/>
      <c r="J4" s="401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89" t="n"/>
      <c r="B5" s="90" t="n"/>
      <c r="C5" s="99" t="n"/>
      <c r="D5" s="399" t="n"/>
      <c r="E5" s="39" t="n"/>
      <c r="F5" s="40" t="n"/>
      <c r="G5" s="40" t="n"/>
      <c r="H5" s="39" t="n"/>
      <c r="I5" s="393" t="n"/>
      <c r="J5" s="401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45" t="n"/>
      <c r="B6" s="46" t="n"/>
      <c r="C6" s="99" t="n"/>
      <c r="D6" s="399" t="n"/>
      <c r="E6" s="39" t="n"/>
      <c r="F6" s="40" t="n"/>
      <c r="G6" s="40" t="n"/>
      <c r="H6" s="39" t="n"/>
      <c r="I6" s="393" t="n"/>
      <c r="J6" s="401" t="n"/>
      <c r="K6" s="392" t="n"/>
      <c r="L6" s="391" t="n"/>
      <c r="M6" s="392">
        <f>K6+L6</f>
        <v/>
      </c>
      <c r="N6" s="392" t="n">
        <v>0</v>
      </c>
    </row>
    <row r="7" ht="17.25" customFormat="1" customHeight="1" s="110">
      <c r="A7" s="45" t="n"/>
      <c r="B7" s="46" t="n"/>
      <c r="C7" s="99" t="n"/>
      <c r="D7" s="399" t="n"/>
      <c r="E7" s="39" t="n"/>
      <c r="F7" s="40" t="n"/>
      <c r="G7" s="40" t="n"/>
      <c r="H7" s="39" t="n"/>
      <c r="I7" s="393" t="n"/>
      <c r="J7" s="401" t="n"/>
      <c r="K7" s="392" t="n"/>
      <c r="L7" s="391" t="n"/>
      <c r="M7" s="392">
        <f>K7+L7</f>
        <v/>
      </c>
      <c r="N7" s="392" t="n">
        <v>0</v>
      </c>
    </row>
    <row r="8" ht="17.25" customFormat="1" customHeight="1" s="110">
      <c r="A8" s="47" t="n"/>
      <c r="B8" s="48" t="n"/>
      <c r="C8" s="39" t="n"/>
      <c r="D8" s="399" t="n"/>
      <c r="E8" s="39" t="n"/>
      <c r="F8" s="40" t="n"/>
      <c r="G8" s="40" t="n"/>
      <c r="H8" s="39" t="n"/>
      <c r="I8" s="393" t="n"/>
      <c r="J8" s="393" t="n"/>
      <c r="K8" s="392" t="n"/>
      <c r="L8" s="391" t="n"/>
      <c r="M8" s="392">
        <f>K8+L8</f>
        <v/>
      </c>
      <c r="N8" s="392" t="n">
        <v>0</v>
      </c>
    </row>
    <row r="9" ht="17.25" customFormat="1" customHeight="1" s="110">
      <c r="A9" s="47" t="n"/>
      <c r="B9" s="48" t="n"/>
      <c r="C9" s="39" t="n"/>
      <c r="D9" s="399" t="n"/>
      <c r="E9" s="39" t="n"/>
      <c r="F9" s="40" t="n"/>
      <c r="G9" s="393" t="n"/>
      <c r="H9" s="39" t="n"/>
      <c r="I9" s="393" t="n"/>
      <c r="J9" s="535" t="n"/>
      <c r="K9" s="392" t="n"/>
      <c r="L9" s="391" t="n"/>
      <c r="M9" s="392">
        <f>K9+L9</f>
        <v/>
      </c>
      <c r="N9" s="392" t="n">
        <v>0</v>
      </c>
    </row>
    <row r="10" ht="17.25" customFormat="1" customHeight="1" s="110">
      <c r="A10" s="45" t="n"/>
      <c r="B10" s="48" t="n"/>
      <c r="C10" s="39" t="n"/>
      <c r="D10" s="399" t="n"/>
      <c r="E10" s="39" t="n"/>
      <c r="F10" s="40" t="n"/>
      <c r="G10" s="40" t="n"/>
      <c r="H10" s="39" t="n"/>
      <c r="I10" s="393" t="n"/>
      <c r="J10" s="401" t="n"/>
      <c r="K10" s="392" t="n"/>
      <c r="L10" s="391" t="n"/>
      <c r="M10" s="392">
        <f>K10+L10</f>
        <v/>
      </c>
      <c r="N10" s="392" t="n">
        <v>0</v>
      </c>
    </row>
    <row r="11" ht="17.25" customHeight="1" s="374">
      <c r="A11" s="1" t="n"/>
      <c r="B11" s="52" t="n"/>
      <c r="C11" s="53" t="n"/>
      <c r="D11" s="402" t="n"/>
      <c r="E11" s="53" t="n"/>
      <c r="F11" s="54" t="n"/>
      <c r="G11" s="54" t="n"/>
      <c r="H11" s="53" t="n"/>
      <c r="I11" s="403" t="n"/>
      <c r="J11" s="406" t="n"/>
      <c r="K11" s="400" t="n"/>
      <c r="L11" s="435" t="n"/>
      <c r="M11" s="400">
        <f>K11+L11</f>
        <v/>
      </c>
      <c r="N11" s="392" t="n">
        <v>0</v>
      </c>
    </row>
    <row r="12" ht="17.25" customFormat="1" customHeight="1" s="6">
      <c r="A12" s="51" t="n"/>
      <c r="B12" s="52" t="n"/>
      <c r="C12" s="53" t="n"/>
      <c r="D12" s="402" t="n"/>
      <c r="E12" s="53" t="n"/>
      <c r="F12" s="54" t="n"/>
      <c r="G12" s="54" t="n"/>
      <c r="H12" s="408" t="n"/>
      <c r="I12" s="403" t="n"/>
      <c r="J12" s="406" t="n"/>
      <c r="K12" s="400" t="n"/>
      <c r="L12" s="435" t="n"/>
      <c r="M12" s="400">
        <f>K12+L12</f>
        <v/>
      </c>
      <c r="N12" s="392" t="n">
        <v>0</v>
      </c>
    </row>
    <row r="13" ht="17.25" customFormat="1" customHeight="1" s="6">
      <c r="A13" s="59" t="n"/>
      <c r="B13" s="52" t="n"/>
      <c r="C13" s="53" t="n"/>
      <c r="D13" s="402" t="n"/>
      <c r="E13" s="53" t="n"/>
      <c r="F13" s="54" t="n"/>
      <c r="G13" s="54" t="n"/>
      <c r="H13" s="53" t="n"/>
      <c r="I13" s="403" t="n"/>
      <c r="J13" s="406" t="n"/>
      <c r="K13" s="400" t="n"/>
      <c r="L13" s="435" t="n"/>
      <c r="M13" s="400">
        <f>K13+L13</f>
        <v/>
      </c>
      <c r="N13" s="392" t="n">
        <v>0</v>
      </c>
    </row>
    <row r="14" ht="17.25" customHeight="1" s="374">
      <c r="A14" s="45" t="n"/>
      <c r="B14" s="48" t="n"/>
      <c r="C14" s="39" t="n"/>
      <c r="D14" s="399" t="n"/>
      <c r="E14" s="39" t="n"/>
      <c r="F14" s="40" t="n"/>
      <c r="G14" s="40" t="n"/>
      <c r="H14" s="39" t="n"/>
      <c r="I14" s="393" t="n"/>
      <c r="J14" s="404" t="n"/>
      <c r="K14" s="392" t="n"/>
      <c r="L14" s="391" t="n"/>
      <c r="M14" s="400">
        <f>K14+L14</f>
        <v/>
      </c>
      <c r="N14" s="392" t="n">
        <v>0</v>
      </c>
    </row>
    <row r="15" ht="17.25" customHeight="1" s="374">
      <c r="A15" s="45" t="n"/>
      <c r="B15" s="46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 ht="17.25" customHeight="1" s="374">
      <c r="A16" s="47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 ht="17.25" customHeight="1" s="374">
      <c r="A17" s="45" t="n"/>
      <c r="B17" s="46" t="n"/>
      <c r="C17" s="39" t="n"/>
      <c r="D17" s="399" t="n"/>
      <c r="E17" s="39" t="n"/>
      <c r="F17" s="40" t="n"/>
      <c r="G17" s="40" t="n"/>
      <c r="H17" s="39" t="n"/>
      <c r="I17" s="393" t="n"/>
      <c r="J17" s="404" t="n"/>
      <c r="K17" s="392" t="n"/>
      <c r="L17" s="392" t="n"/>
      <c r="M17" s="400">
        <f>K17+L17</f>
        <v/>
      </c>
      <c r="N17" s="392" t="n">
        <v>0</v>
      </c>
    </row>
    <row r="18" ht="17.25" customHeight="1" s="374">
      <c r="A18" s="1" t="n"/>
      <c r="B18" s="8" t="n"/>
      <c r="C18" s="53" t="n"/>
      <c r="D18" s="381" t="n"/>
      <c r="E18" s="53" t="n"/>
      <c r="F18" s="61" t="n"/>
      <c r="G18" s="61" t="n"/>
      <c r="H18" s="53" t="n"/>
      <c r="I18" s="403" t="n"/>
      <c r="J18" s="406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 ht="17.25" customHeight="1" s="374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 ht="17.25" customHeight="1" s="374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 ht="17.25" customHeight="1" s="374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 ht="17.25" customHeight="1" s="37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 ht="17.25" customHeight="1" s="374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 ht="17.25" customHeight="1" s="374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 ht="17.25" customHeight="1" s="374">
      <c r="A27" s="51" t="n"/>
      <c r="B27" s="62" t="n"/>
      <c r="C27" s="53" t="n"/>
      <c r="D27" s="407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 ht="17.25" customHeight="1" s="374">
      <c r="A28" s="51" t="n"/>
      <c r="B28" s="62" t="n"/>
      <c r="C28" s="53" t="n"/>
      <c r="D28" s="53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 ht="17.25" customHeight="1" s="374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427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9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51" t="n"/>
      <c r="B33" s="62" t="n"/>
      <c r="C33" s="53" t="n"/>
      <c r="D33" s="381" t="n"/>
      <c r="E33" s="53" t="n"/>
      <c r="F33" s="61" t="n"/>
      <c r="G33" s="61" t="n"/>
      <c r="H33" s="53" t="n"/>
      <c r="I33" s="403" t="n"/>
      <c r="J33" s="406" t="n"/>
      <c r="K33" s="400" t="n"/>
      <c r="L33" s="400" t="n"/>
      <c r="M33" s="400">
        <f>K33+L33</f>
        <v/>
      </c>
      <c r="N33" s="392" t="n">
        <v>0</v>
      </c>
    </row>
    <row r="34">
      <c r="A34" s="51" t="n"/>
      <c r="B34" s="62" t="n"/>
      <c r="C34" s="53" t="n"/>
      <c r="D34" s="381" t="n"/>
      <c r="E34" s="53" t="n"/>
      <c r="F34" s="61" t="n"/>
      <c r="G34" s="61" t="n"/>
      <c r="H34" s="53" t="n"/>
      <c r="I34" s="403" t="n"/>
      <c r="J34" s="406" t="n"/>
      <c r="K34" s="400" t="n"/>
      <c r="L34" s="400" t="n"/>
      <c r="M34" s="400">
        <f>K34+L34</f>
        <v/>
      </c>
      <c r="N34" s="392" t="n">
        <v>0</v>
      </c>
    </row>
    <row r="35">
      <c r="A35" s="51" t="n"/>
      <c r="B35" s="62" t="n"/>
      <c r="C35" s="53" t="n"/>
      <c r="D35" s="407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4" t="n"/>
      <c r="B36" s="15" t="n"/>
      <c r="C36" s="10" t="n"/>
      <c r="D36" s="381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11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10" t="n"/>
      <c r="D38" s="411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34"/>
  <sheetViews>
    <sheetView zoomScale="60" zoomScaleNormal="60" workbookViewId="0">
      <selection activeCell="J25" sqref="J25"/>
    </sheetView>
  </sheetViews>
  <sheetFormatPr baseColWidth="8" defaultColWidth="8.77734375" defaultRowHeight="16.2"/>
  <cols>
    <col width="9" customWidth="1" style="29" min="1" max="1"/>
    <col width="10.88671875" customWidth="1" style="374" min="2" max="2"/>
    <col width="56.6640625" customWidth="1" style="374" min="3" max="3"/>
    <col width="25.21875" customWidth="1" style="374" min="4" max="4"/>
    <col width="9" bestFit="1" customWidth="1" style="374" min="5" max="6"/>
    <col width="9.33203125" customWidth="1" style="374" min="7" max="7"/>
    <col width="11.44140625" bestFit="1" customWidth="1" style="374" min="8" max="8"/>
    <col width="9.44140625" customWidth="1" style="374" min="9" max="9"/>
    <col width="42" customWidth="1" style="379" min="10" max="10"/>
    <col width="9" bestFit="1" customWidth="1" style="380" min="11" max="12"/>
    <col width="15.21875" customWidth="1" style="380" min="13" max="13"/>
  </cols>
  <sheetData>
    <row r="1">
      <c r="A1" s="1" t="inlineStr">
        <is>
          <t>Ord No.</t>
        </is>
      </c>
      <c r="B1" s="2" t="inlineStr">
        <is>
          <t>Time</t>
        </is>
      </c>
      <c r="C1" s="2" t="inlineStr">
        <is>
          <t>Trip</t>
        </is>
      </c>
      <c r="D1" s="381" t="inlineStr">
        <is>
          <t>Driver</t>
        </is>
      </c>
      <c r="E1" s="382" t="inlineStr">
        <is>
          <t>Status</t>
        </is>
      </c>
      <c r="F1" s="382" t="inlineStr">
        <is>
          <t>Pick</t>
        </is>
      </c>
      <c r="G1" s="382" t="inlineStr">
        <is>
          <t>Drop</t>
        </is>
      </c>
      <c r="H1" s="382" t="inlineStr">
        <is>
          <t>Decp</t>
        </is>
      </c>
      <c r="I1" s="383" t="inlineStr">
        <is>
          <t>Ptime</t>
        </is>
      </c>
      <c r="J1" s="384" t="inlineStr">
        <is>
          <t>Driver.Details</t>
        </is>
      </c>
      <c r="K1" s="385" t="inlineStr">
        <is>
          <t>Dvr.OT</t>
        </is>
      </c>
      <c r="L1" s="386" t="inlineStr">
        <is>
          <t>Dvr.C</t>
        </is>
      </c>
      <c r="M1" s="385" t="inlineStr">
        <is>
          <t>Driver.C+OT</t>
        </is>
      </c>
      <c r="N1" s="385" t="inlineStr">
        <is>
          <t>Bouns</t>
        </is>
      </c>
    </row>
    <row r="2" ht="17.25" customFormat="1" customHeight="1" s="110">
      <c r="A2" s="45" t="n"/>
      <c r="B2" s="46" t="n"/>
      <c r="C2" s="91" t="n"/>
      <c r="D2" s="399" t="n"/>
      <c r="E2" s="39" t="n"/>
      <c r="F2" s="40" t="n"/>
      <c r="G2" s="40" t="n"/>
      <c r="H2" s="39" t="n"/>
      <c r="I2" s="393" t="n"/>
      <c r="J2" s="395" t="n"/>
      <c r="K2" s="396" t="n"/>
      <c r="L2" s="429" t="n"/>
      <c r="M2" s="392">
        <f>K2+L2</f>
        <v/>
      </c>
      <c r="N2" s="392" t="n">
        <v>0</v>
      </c>
    </row>
    <row r="3" ht="17.25" customFormat="1" customHeight="1" s="110">
      <c r="A3" s="45" t="n"/>
      <c r="B3" s="48" t="n"/>
      <c r="C3" s="91" t="n"/>
      <c r="D3" s="399" t="n"/>
      <c r="E3" s="39" t="n"/>
      <c r="F3" s="40" t="n"/>
      <c r="G3" s="40" t="n"/>
      <c r="H3" s="39" t="n"/>
      <c r="I3" s="393" t="n"/>
      <c r="J3" s="404" t="n"/>
      <c r="K3" s="392" t="n"/>
      <c r="L3" s="391" t="n"/>
      <c r="M3" s="392">
        <f>K3+L3</f>
        <v/>
      </c>
      <c r="N3" s="392" t="n">
        <v>0</v>
      </c>
    </row>
    <row r="4" ht="17.25" customFormat="1" customHeight="1" s="110">
      <c r="A4" s="45" t="n"/>
      <c r="B4" s="48" t="n"/>
      <c r="C4" s="99" t="n"/>
      <c r="D4" s="399" t="n"/>
      <c r="E4" s="39" t="n"/>
      <c r="F4" s="40" t="n"/>
      <c r="G4" s="40" t="n"/>
      <c r="H4" s="39" t="n"/>
      <c r="I4" s="393" t="n"/>
      <c r="J4" s="404" t="n"/>
      <c r="K4" s="392" t="n"/>
      <c r="L4" s="391" t="n"/>
      <c r="M4" s="392">
        <f>K4+L4</f>
        <v/>
      </c>
      <c r="N4" s="392" t="n">
        <v>0</v>
      </c>
    </row>
    <row r="5" ht="17.25" customFormat="1" customHeight="1" s="110">
      <c r="A5" s="89" t="n"/>
      <c r="B5" s="90" t="n"/>
      <c r="C5" s="99" t="n"/>
      <c r="D5" s="399" t="n"/>
      <c r="E5" s="39" t="n"/>
      <c r="F5" s="40" t="n"/>
      <c r="G5" s="40" t="n"/>
      <c r="H5" s="39" t="n"/>
      <c r="I5" s="393" t="n"/>
      <c r="J5" s="404" t="n"/>
      <c r="K5" s="392" t="n"/>
      <c r="L5" s="391" t="n"/>
      <c r="M5" s="392">
        <f>K5+L5</f>
        <v/>
      </c>
      <c r="N5" s="392" t="n">
        <v>0</v>
      </c>
    </row>
    <row r="6" ht="17.25" customFormat="1" customHeight="1" s="110">
      <c r="A6" s="89" t="n"/>
      <c r="B6" s="90" t="n"/>
      <c r="C6" s="99" t="n"/>
      <c r="D6" s="399" t="n"/>
      <c r="E6" s="39" t="n"/>
      <c r="F6" s="40" t="n"/>
      <c r="G6" s="40" t="n"/>
      <c r="H6" s="39" t="n"/>
      <c r="I6" s="393" t="n"/>
      <c r="J6" s="404" t="n"/>
      <c r="K6" s="392" t="n"/>
      <c r="L6" s="391" t="n"/>
      <c r="M6" s="392">
        <f>K6+L6</f>
        <v/>
      </c>
      <c r="N6" s="392" t="n">
        <v>0</v>
      </c>
    </row>
    <row r="7" ht="17.25" customFormat="1" customHeight="1" s="6">
      <c r="A7" s="45" t="n"/>
      <c r="B7" s="90" t="n"/>
      <c r="C7" s="99" t="n"/>
      <c r="D7" s="399" t="n"/>
      <c r="E7" s="39" t="n"/>
      <c r="F7" s="40" t="n"/>
      <c r="G7" s="40" t="n"/>
      <c r="H7" s="39" t="n"/>
      <c r="I7" s="393" t="n"/>
      <c r="J7" s="395" t="n"/>
      <c r="K7" s="396" t="n"/>
      <c r="L7" s="429" t="n"/>
      <c r="M7" s="392">
        <f>K7+L7</f>
        <v/>
      </c>
      <c r="N7" s="392" t="n">
        <v>0</v>
      </c>
      <c r="P7" s="110" t="n"/>
    </row>
    <row r="8" ht="17.25" customFormat="1" customHeight="1" s="6">
      <c r="A8" s="45" t="n"/>
      <c r="B8" s="90" t="n"/>
      <c r="C8" s="99" t="n"/>
      <c r="D8" s="399" t="n"/>
      <c r="E8" s="39" t="n"/>
      <c r="F8" s="40" t="n"/>
      <c r="G8" s="40" t="n"/>
      <c r="H8" s="39" t="n"/>
      <c r="I8" s="393" t="n"/>
      <c r="J8" s="395" t="n"/>
      <c r="K8" s="396" t="n"/>
      <c r="L8" s="429" t="n"/>
      <c r="M8" s="392">
        <f>K8+L8</f>
        <v/>
      </c>
      <c r="N8" s="392" t="n">
        <v>0</v>
      </c>
      <c r="P8" s="110" t="n"/>
    </row>
    <row r="9" ht="17.25" customHeight="1" s="374">
      <c r="A9" s="47" t="n"/>
      <c r="B9" s="48" t="n"/>
      <c r="C9" s="39" t="n"/>
      <c r="D9" s="399" t="n"/>
      <c r="E9" s="39" t="n"/>
      <c r="F9" s="54" t="n"/>
      <c r="G9" s="54" t="n"/>
      <c r="H9" s="53" t="n"/>
      <c r="I9" s="403" t="n"/>
      <c r="J9" s="406" t="n"/>
      <c r="K9" s="400" t="n"/>
      <c r="L9" s="435" t="n"/>
      <c r="M9" s="392">
        <f>K9+L9</f>
        <v/>
      </c>
      <c r="N9" s="392" t="n">
        <v>0</v>
      </c>
      <c r="P9" s="110" t="n"/>
    </row>
    <row r="10" ht="17.25" customHeight="1" s="374">
      <c r="A10" s="51" t="n"/>
      <c r="B10" s="52" t="n"/>
      <c r="C10" s="53" t="n"/>
      <c r="D10" s="399" t="n"/>
      <c r="E10" s="53" t="n"/>
      <c r="F10" s="54" t="n"/>
      <c r="G10" s="54" t="n"/>
      <c r="H10" s="53" t="n"/>
      <c r="I10" s="403" t="n"/>
      <c r="J10" s="406" t="n"/>
      <c r="K10" s="400" t="n"/>
      <c r="L10" s="435" t="n"/>
      <c r="M10" s="400">
        <f>K10+L10</f>
        <v/>
      </c>
      <c r="N10" s="392" t="n">
        <v>0</v>
      </c>
      <c r="P10" s="110" t="n"/>
    </row>
    <row r="11" ht="17.25" customHeight="1" s="374">
      <c r="A11" s="1" t="n"/>
      <c r="B11" s="52" t="n"/>
      <c r="C11" s="53" t="n"/>
      <c r="D11" s="399" t="n"/>
      <c r="E11" s="53" t="n"/>
      <c r="F11" s="54" t="n"/>
      <c r="G11" s="54" t="n"/>
      <c r="H11" s="53" t="n"/>
      <c r="I11" s="403" t="n"/>
      <c r="J11" s="404" t="n"/>
      <c r="K11" s="400" t="n"/>
      <c r="L11" s="435" t="n"/>
      <c r="M11" s="400">
        <f>K11+L11</f>
        <v/>
      </c>
      <c r="N11" s="392" t="n">
        <v>0</v>
      </c>
    </row>
    <row r="12" ht="17.25" customFormat="1" customHeight="1" s="6">
      <c r="A12" s="51" t="n"/>
      <c r="B12" s="52" t="n"/>
      <c r="C12" s="53" t="n"/>
      <c r="D12" s="402" t="n"/>
      <c r="E12" s="53" t="n"/>
      <c r="F12" s="54" t="n"/>
      <c r="G12" s="54" t="n"/>
      <c r="H12" s="408" t="n"/>
      <c r="I12" s="403" t="n"/>
      <c r="J12" s="406" t="n"/>
      <c r="K12" s="400" t="n"/>
      <c r="L12" s="435" t="n"/>
      <c r="M12" s="400">
        <f>K12+L12</f>
        <v/>
      </c>
      <c r="N12" s="392" t="n">
        <v>0</v>
      </c>
    </row>
    <row r="13" ht="17.25" customFormat="1" customHeight="1" s="6">
      <c r="A13" s="59" t="n"/>
      <c r="B13" s="52" t="n"/>
      <c r="C13" s="53" t="n"/>
      <c r="D13" s="402" t="n"/>
      <c r="E13" s="53" t="n"/>
      <c r="F13" s="54" t="n"/>
      <c r="G13" s="54" t="n"/>
      <c r="H13" s="53" t="n"/>
      <c r="I13" s="403" t="n"/>
      <c r="J13" s="406" t="n"/>
      <c r="K13" s="400" t="n"/>
      <c r="L13" s="435" t="n"/>
      <c r="M13" s="400">
        <f>K13+L13</f>
        <v/>
      </c>
      <c r="N13" s="392" t="n">
        <v>0</v>
      </c>
    </row>
    <row r="14" ht="17.25" customFormat="1" customHeight="1" s="6">
      <c r="A14" s="59" t="n"/>
      <c r="B14" s="52" t="n"/>
      <c r="C14" s="53" t="n"/>
      <c r="D14" s="402" t="n"/>
      <c r="E14" s="53" t="n"/>
      <c r="F14" s="54" t="n"/>
      <c r="G14" s="54" t="n"/>
      <c r="H14" s="53" t="n"/>
      <c r="I14" s="403" t="n"/>
      <c r="J14" s="406" t="n"/>
      <c r="K14" s="400" t="n"/>
      <c r="L14" s="435" t="n"/>
      <c r="M14" s="400">
        <f>K14+L14</f>
        <v/>
      </c>
      <c r="N14" s="392" t="n">
        <v>0</v>
      </c>
    </row>
    <row r="15" ht="17.25" customHeight="1" s="374">
      <c r="A15" s="45" t="n"/>
      <c r="B15" s="46" t="n"/>
      <c r="C15" s="39" t="n"/>
      <c r="D15" s="405" t="n"/>
      <c r="E15" s="39" t="n"/>
      <c r="F15" s="40" t="n"/>
      <c r="G15" s="40" t="n"/>
      <c r="H15" s="39" t="n"/>
      <c r="I15" s="393" t="n"/>
      <c r="J15" s="404" t="n"/>
      <c r="K15" s="392" t="n"/>
      <c r="L15" s="391" t="n"/>
      <c r="M15" s="400">
        <f>K15+L15</f>
        <v/>
      </c>
      <c r="N15" s="392" t="n">
        <v>0</v>
      </c>
    </row>
    <row r="16" ht="17.25" customHeight="1" s="374">
      <c r="A16" s="47" t="n"/>
      <c r="B16" s="48" t="n"/>
      <c r="C16" s="39" t="n"/>
      <c r="D16" s="405" t="n"/>
      <c r="E16" s="39" t="n"/>
      <c r="F16" s="40" t="n"/>
      <c r="G16" s="40" t="n"/>
      <c r="H16" s="39" t="n"/>
      <c r="I16" s="393" t="n"/>
      <c r="J16" s="404" t="n"/>
      <c r="K16" s="392" t="n"/>
      <c r="L16" s="391" t="n"/>
      <c r="M16" s="400">
        <f>K16+L16</f>
        <v/>
      </c>
      <c r="N16" s="392" t="n">
        <v>0</v>
      </c>
    </row>
    <row r="17" ht="17.25" customHeight="1" s="374">
      <c r="A17" s="47" t="n"/>
      <c r="B17" s="48" t="n"/>
      <c r="C17" s="39" t="n"/>
      <c r="D17" s="405" t="n"/>
      <c r="E17" s="39" t="n"/>
      <c r="F17" s="40" t="n"/>
      <c r="G17" s="40" t="n"/>
      <c r="H17" s="39" t="n"/>
      <c r="I17" s="393" t="n"/>
      <c r="J17" s="404" t="n"/>
      <c r="K17" s="392" t="n"/>
      <c r="L17" s="391" t="n"/>
      <c r="M17" s="400">
        <f>K17+L17</f>
        <v/>
      </c>
      <c r="N17" s="392" t="n">
        <v>0</v>
      </c>
    </row>
    <row r="18" ht="17.25" customHeight="1" s="374">
      <c r="A18" s="1" t="n"/>
      <c r="B18" s="8" t="n"/>
      <c r="C18" s="53" t="n"/>
      <c r="D18" s="381" t="n"/>
      <c r="E18" s="53" t="n"/>
      <c r="F18" s="61" t="n"/>
      <c r="G18" s="61" t="n"/>
      <c r="H18" s="53" t="n"/>
      <c r="I18" s="403" t="n"/>
      <c r="J18" s="404" t="n"/>
      <c r="K18" s="400" t="n"/>
      <c r="L18" s="400" t="n"/>
      <c r="M18" s="400">
        <f>K18+L18</f>
        <v/>
      </c>
      <c r="N18" s="392" t="n">
        <v>0</v>
      </c>
    </row>
    <row r="19" ht="17.25" customHeight="1" s="374">
      <c r="A19" s="51" t="n"/>
      <c r="B19" s="62" t="n"/>
      <c r="C19" s="53" t="n"/>
      <c r="D19" s="381" t="n"/>
      <c r="E19" s="53" t="n"/>
      <c r="F19" s="61" t="n"/>
      <c r="G19" s="61" t="n"/>
      <c r="H19" s="53" t="n"/>
      <c r="I19" s="403" t="n"/>
      <c r="J19" s="406" t="n"/>
      <c r="K19" s="400" t="n"/>
      <c r="L19" s="400" t="n"/>
      <c r="M19" s="400">
        <f>K19+L19</f>
        <v/>
      </c>
      <c r="N19" s="392" t="n">
        <v>0</v>
      </c>
    </row>
    <row r="20" ht="17.25" customHeight="1" s="374">
      <c r="A20" s="51" t="n"/>
      <c r="B20" s="62" t="n"/>
      <c r="C20" s="53" t="n"/>
      <c r="D20" s="381" t="n"/>
      <c r="E20" s="53" t="n"/>
      <c r="F20" s="61" t="n"/>
      <c r="G20" s="61" t="n"/>
      <c r="H20" s="53" t="n"/>
      <c r="I20" s="403" t="n"/>
      <c r="J20" s="406" t="n"/>
      <c r="K20" s="400" t="n"/>
      <c r="L20" s="400" t="n"/>
      <c r="M20" s="400">
        <f>K20+L20</f>
        <v/>
      </c>
      <c r="N20" s="392" t="n">
        <v>0</v>
      </c>
    </row>
    <row r="21" ht="17.25" customHeight="1" s="374">
      <c r="A21" s="51" t="n"/>
      <c r="B21" s="62" t="n"/>
      <c r="C21" s="53" t="n"/>
      <c r="D21" s="381" t="n"/>
      <c r="E21" s="53" t="n"/>
      <c r="F21" s="61" t="n"/>
      <c r="G21" s="61" t="n"/>
      <c r="H21" s="53" t="n"/>
      <c r="I21" s="403" t="n"/>
      <c r="J21" s="406" t="n"/>
      <c r="K21" s="400" t="n"/>
      <c r="L21" s="400" t="n"/>
      <c r="M21" s="400">
        <f>K21+L21</f>
        <v/>
      </c>
      <c r="N21" s="392" t="n">
        <v>0</v>
      </c>
    </row>
    <row r="22" ht="17.25" customHeight="1" s="374">
      <c r="A22" s="51" t="n"/>
      <c r="B22" s="62" t="n"/>
      <c r="C22" s="53" t="n"/>
      <c r="D22" s="381" t="n"/>
      <c r="E22" s="53" t="n"/>
      <c r="F22" s="61" t="n"/>
      <c r="G22" s="61" t="n"/>
      <c r="H22" s="53" t="n"/>
      <c r="I22" s="403" t="n"/>
      <c r="J22" s="406" t="n"/>
      <c r="K22" s="400" t="n"/>
      <c r="L22" s="400" t="n"/>
      <c r="M22" s="400">
        <f>K22+L22</f>
        <v/>
      </c>
      <c r="N22" s="392" t="n">
        <v>0</v>
      </c>
    </row>
    <row r="23" ht="17.25" customHeight="1" s="374">
      <c r="A23" s="51" t="n"/>
      <c r="B23" s="62" t="n"/>
      <c r="C23" s="53" t="n"/>
      <c r="D23" s="407" t="n"/>
      <c r="E23" s="53" t="n"/>
      <c r="F23" s="61" t="n"/>
      <c r="G23" s="61" t="n"/>
      <c r="H23" s="53" t="n"/>
      <c r="I23" s="403" t="n"/>
      <c r="J23" s="406" t="n"/>
      <c r="K23" s="400" t="n"/>
      <c r="L23" s="400" t="n"/>
      <c r="M23" s="400">
        <f>K23+L23</f>
        <v/>
      </c>
      <c r="N23" s="392" t="n">
        <v>0</v>
      </c>
    </row>
    <row r="24" ht="17.25" customHeight="1" s="374">
      <c r="A24" s="51" t="n"/>
      <c r="B24" s="62" t="n"/>
      <c r="C24" s="53" t="n"/>
      <c r="D24" s="53" t="n"/>
      <c r="E24" s="53" t="n"/>
      <c r="F24" s="61" t="n"/>
      <c r="G24" s="61" t="n"/>
      <c r="H24" s="53" t="n"/>
      <c r="I24" s="403" t="n"/>
      <c r="J24" s="406" t="n"/>
      <c r="K24" s="400" t="n"/>
      <c r="L24" s="400" t="n"/>
      <c r="M24" s="400">
        <f>K24+L24</f>
        <v/>
      </c>
      <c r="N24" s="392" t="n">
        <v>0</v>
      </c>
    </row>
    <row r="25" ht="17.25" customHeight="1" s="374">
      <c r="A25" s="51" t="n"/>
      <c r="B25" s="62" t="n"/>
      <c r="C25" s="53" t="n"/>
      <c r="D25" s="381" t="n"/>
      <c r="E25" s="53" t="n"/>
      <c r="F25" s="61" t="n"/>
      <c r="G25" s="61" t="n"/>
      <c r="H25" s="53" t="n"/>
      <c r="I25" s="403" t="n"/>
      <c r="J25" s="406" t="n"/>
      <c r="K25" s="400" t="n"/>
      <c r="L25" s="400" t="n"/>
      <c r="M25" s="400">
        <f>K25+L25</f>
        <v/>
      </c>
      <c r="N25" s="392" t="n">
        <v>0</v>
      </c>
    </row>
    <row r="26" ht="17.25" customHeight="1" s="374">
      <c r="A26" s="51" t="n"/>
      <c r="B26" s="62" t="n"/>
      <c r="C26" s="53" t="n"/>
      <c r="D26" s="381" t="n"/>
      <c r="E26" s="53" t="n"/>
      <c r="F26" s="61" t="n"/>
      <c r="G26" s="61" t="n"/>
      <c r="H26" s="53" t="n"/>
      <c r="I26" s="403" t="n"/>
      <c r="J26" s="406" t="n"/>
      <c r="K26" s="400" t="n"/>
      <c r="L26" s="400" t="n"/>
      <c r="M26" s="400">
        <f>K26+L26</f>
        <v/>
      </c>
      <c r="N26" s="392" t="n">
        <v>0</v>
      </c>
    </row>
    <row r="27" ht="17.25" customHeight="1" s="374">
      <c r="A27" s="51" t="n"/>
      <c r="B27" s="62" t="n"/>
      <c r="C27" s="53" t="n"/>
      <c r="D27" s="407" t="n"/>
      <c r="E27" s="53" t="n"/>
      <c r="F27" s="61" t="n"/>
      <c r="G27" s="61" t="n"/>
      <c r="H27" s="53" t="n"/>
      <c r="I27" s="403" t="n"/>
      <c r="J27" s="406" t="n"/>
      <c r="K27" s="400" t="n"/>
      <c r="L27" s="400" t="n"/>
      <c r="M27" s="400">
        <f>K27+L27</f>
        <v/>
      </c>
      <c r="N27" s="392" t="n">
        <v>0</v>
      </c>
    </row>
    <row r="28">
      <c r="A28" s="51" t="n"/>
      <c r="B28" s="62" t="n"/>
      <c r="C28" s="53" t="n"/>
      <c r="D28" s="53" t="n"/>
      <c r="E28" s="53" t="n"/>
      <c r="F28" s="61" t="n"/>
      <c r="G28" s="61" t="n"/>
      <c r="H28" s="53" t="n"/>
      <c r="I28" s="403" t="n"/>
      <c r="J28" s="406" t="n"/>
      <c r="K28" s="400" t="n"/>
      <c r="L28" s="400" t="n"/>
      <c r="M28" s="400">
        <f>K28+L28</f>
        <v/>
      </c>
      <c r="N28" s="392" t="n">
        <v>0</v>
      </c>
    </row>
    <row r="29">
      <c r="A29" s="51" t="n"/>
      <c r="B29" s="62" t="n"/>
      <c r="C29" s="53" t="n"/>
      <c r="D29" s="381" t="n"/>
      <c r="E29" s="53" t="n"/>
      <c r="F29" s="61" t="n"/>
      <c r="G29" s="61" t="n"/>
      <c r="H29" s="53" t="n"/>
      <c r="I29" s="403" t="n"/>
      <c r="J29" s="406" t="n"/>
      <c r="K29" s="400" t="n"/>
      <c r="L29" s="400" t="n"/>
      <c r="M29" s="400">
        <f>K29+L29</f>
        <v/>
      </c>
      <c r="N29" s="392" t="n">
        <v>0</v>
      </c>
    </row>
    <row r="30">
      <c r="A30" s="51" t="n"/>
      <c r="B30" s="62" t="n"/>
      <c r="C30" s="53" t="n"/>
      <c r="D30" s="427" t="n"/>
      <c r="E30" s="53" t="n"/>
      <c r="F30" s="61" t="n"/>
      <c r="G30" s="61" t="n"/>
      <c r="H30" s="53" t="n"/>
      <c r="I30" s="403" t="n"/>
      <c r="J30" s="406" t="n"/>
      <c r="K30" s="400" t="n"/>
      <c r="L30" s="400" t="n"/>
      <c r="M30" s="400">
        <f>K30+L30</f>
        <v/>
      </c>
      <c r="N30" s="392" t="n">
        <v>0</v>
      </c>
    </row>
    <row r="31">
      <c r="A31" s="51" t="n"/>
      <c r="B31" s="62" t="n"/>
      <c r="C31" s="53" t="n"/>
      <c r="D31" s="381" t="n"/>
      <c r="E31" s="53" t="n"/>
      <c r="F31" s="61" t="n"/>
      <c r="G31" s="61" t="n"/>
      <c r="H31" s="53" t="n"/>
      <c r="I31" s="403" t="n"/>
      <c r="J31" s="406" t="n"/>
      <c r="K31" s="400" t="n"/>
      <c r="L31" s="400" t="n"/>
      <c r="M31" s="400">
        <f>K31+L31</f>
        <v/>
      </c>
      <c r="N31" s="392" t="n">
        <v>0</v>
      </c>
    </row>
    <row r="32">
      <c r="A32" s="51" t="n"/>
      <c r="B32" s="62" t="n"/>
      <c r="C32" s="53" t="n"/>
      <c r="D32" s="9" t="n"/>
      <c r="E32" s="53" t="n"/>
      <c r="F32" s="61" t="n"/>
      <c r="G32" s="61" t="n"/>
      <c r="H32" s="53" t="n"/>
      <c r="I32" s="403" t="n"/>
      <c r="J32" s="406" t="n"/>
      <c r="K32" s="400" t="n"/>
      <c r="L32" s="400" t="n"/>
      <c r="M32" s="400">
        <f>K32+L32</f>
        <v/>
      </c>
      <c r="N32" s="392" t="n">
        <v>0</v>
      </c>
    </row>
    <row r="33">
      <c r="A33" s="51" t="n"/>
      <c r="B33" s="62" t="n"/>
      <c r="C33" s="53" t="n"/>
      <c r="D33" s="381" t="n"/>
      <c r="E33" s="53" t="n"/>
      <c r="F33" s="61" t="n"/>
      <c r="G33" s="61" t="n"/>
      <c r="H33" s="53" t="n"/>
      <c r="I33" s="403" t="n"/>
      <c r="J33" s="406" t="n"/>
      <c r="K33" s="400" t="n"/>
      <c r="L33" s="400" t="n"/>
      <c r="M33" s="400">
        <f>K33+L33</f>
        <v/>
      </c>
      <c r="N33" s="392" t="n">
        <v>0</v>
      </c>
    </row>
    <row r="34">
      <c r="A34" s="51" t="n"/>
      <c r="B34" s="62" t="n"/>
      <c r="C34" s="53" t="n"/>
      <c r="D34" s="381" t="n"/>
      <c r="E34" s="53" t="n"/>
      <c r="F34" s="61" t="n"/>
      <c r="G34" s="61" t="n"/>
      <c r="H34" s="53" t="n"/>
      <c r="I34" s="403" t="n"/>
      <c r="J34" s="406" t="n"/>
      <c r="K34" s="400" t="n"/>
      <c r="L34" s="400" t="n"/>
      <c r="M34" s="400">
        <f>K34+L34</f>
        <v/>
      </c>
      <c r="N34" s="392" t="n">
        <v>0</v>
      </c>
    </row>
    <row r="35">
      <c r="A35" s="51" t="n"/>
      <c r="B35" s="62" t="n"/>
      <c r="C35" s="53" t="n"/>
      <c r="D35" s="407" t="n"/>
      <c r="E35" s="10" t="n"/>
      <c r="F35" s="61" t="n"/>
      <c r="G35" s="61" t="n"/>
      <c r="H35" s="10" t="n"/>
      <c r="I35" s="412" t="n"/>
      <c r="J35" s="409" t="n"/>
      <c r="K35" s="410" t="n"/>
      <c r="L35" s="410" t="n"/>
      <c r="M35" s="400">
        <f>K35+L35</f>
        <v/>
      </c>
      <c r="N35" s="392" t="n">
        <v>0</v>
      </c>
    </row>
    <row r="36">
      <c r="A36" s="14" t="n"/>
      <c r="B36" s="15" t="n"/>
      <c r="C36" s="10" t="n"/>
      <c r="D36" s="381" t="n"/>
      <c r="E36" s="10" t="n"/>
      <c r="F36" s="61" t="n"/>
      <c r="G36" s="61" t="n"/>
      <c r="H36" s="10" t="n"/>
      <c r="I36" s="412" t="n"/>
      <c r="J36" s="409" t="n"/>
      <c r="K36" s="410" t="n"/>
      <c r="L36" s="410" t="n"/>
      <c r="M36" s="400">
        <f>K36+L36</f>
        <v/>
      </c>
      <c r="N36" s="392" t="n">
        <v>0</v>
      </c>
    </row>
    <row r="37">
      <c r="A37" s="14" t="n"/>
      <c r="B37" s="15" t="n"/>
      <c r="C37" s="10" t="n"/>
      <c r="D37" s="411" t="n"/>
      <c r="E37" s="10" t="n"/>
      <c r="F37" s="61" t="n"/>
      <c r="G37" s="61" t="n"/>
      <c r="H37" s="10" t="n"/>
      <c r="I37" s="412" t="n"/>
      <c r="J37" s="409" t="n"/>
      <c r="K37" s="410" t="n"/>
      <c r="L37" s="410" t="n"/>
      <c r="M37" s="400">
        <f>K37+L37</f>
        <v/>
      </c>
      <c r="N37" s="392" t="n">
        <v>0</v>
      </c>
    </row>
    <row r="38">
      <c r="A38" s="14" t="n"/>
      <c r="B38" s="15" t="n"/>
      <c r="C38" s="10" t="n"/>
      <c r="D38" s="411" t="n"/>
      <c r="E38" s="10" t="n"/>
      <c r="F38" s="61" t="n"/>
      <c r="G38" s="61" t="n"/>
      <c r="H38" s="10" t="n"/>
      <c r="I38" s="412" t="n"/>
      <c r="J38" s="409" t="n"/>
      <c r="K38" s="410" t="n"/>
      <c r="L38" s="410" t="n"/>
      <c r="M38" s="400">
        <f>K38+L38</f>
        <v/>
      </c>
      <c r="N38" s="392" t="n"/>
    </row>
    <row r="39">
      <c r="A39" s="20" t="n"/>
      <c r="B39" s="21" t="n"/>
      <c r="C39" s="22" t="n"/>
      <c r="D39" s="21" t="n"/>
      <c r="E39" s="21" t="n"/>
      <c r="F39" s="21" t="n"/>
      <c r="G39" s="21" t="n"/>
      <c r="H39" s="21" t="n"/>
      <c r="I39" s="416" t="n"/>
      <c r="J39" s="420" t="n"/>
      <c r="K39" s="421" t="n"/>
      <c r="L39" s="421" t="n"/>
      <c r="M39" s="421" t="n"/>
      <c r="N39" s="392" t="n"/>
    </row>
    <row r="40">
      <c r="A40" s="20" t="n"/>
      <c r="B40" s="21" t="n"/>
      <c r="C40" s="22" t="n"/>
      <c r="D40" s="21" t="n"/>
      <c r="E40" s="21" t="n"/>
      <c r="F40" s="21" t="n"/>
      <c r="G40" s="21" t="n"/>
      <c r="H40" s="21" t="n"/>
      <c r="J40" s="420" t="n"/>
      <c r="K40" s="421" t="n"/>
      <c r="L40" s="421" t="n"/>
      <c r="M40" s="423">
        <f>SUM(M2:M39)</f>
        <v/>
      </c>
      <c r="N40" s="423">
        <f>SUM(N2:N38)</f>
        <v/>
      </c>
    </row>
    <row r="41">
      <c r="A41" s="20" t="n"/>
      <c r="B41" s="21" t="n"/>
      <c r="C41" s="22" t="n"/>
      <c r="D41" s="21" t="n"/>
      <c r="E41" s="21" t="n"/>
      <c r="F41" s="21" t="n"/>
      <c r="G41" s="21" t="n"/>
      <c r="H41" s="21" t="n"/>
      <c r="J41" s="420" t="n"/>
      <c r="K41" s="421" t="n"/>
      <c r="L41" s="421" t="n"/>
      <c r="M41" s="424" t="n"/>
    </row>
    <row r="42">
      <c r="A42" s="20" t="n"/>
      <c r="B42" s="21" t="n"/>
      <c r="C42" s="22" t="n"/>
      <c r="D42" s="21" t="n"/>
      <c r="E42" s="21" t="n"/>
      <c r="F42" s="21" t="n"/>
      <c r="G42" s="21" t="n"/>
      <c r="H42" s="21" t="n"/>
      <c r="J42" s="420" t="n"/>
      <c r="K42" s="421" t="n"/>
      <c r="L42" s="421" t="n"/>
    </row>
    <row r="43">
      <c r="C43" s="30" t="n"/>
    </row>
    <row r="44">
      <c r="C44" s="30" t="n"/>
    </row>
    <row r="45">
      <c r="C45" s="30" t="n"/>
    </row>
    <row r="46">
      <c r="C46" s="30" t="n"/>
    </row>
    <row r="47">
      <c r="C47" s="30" t="n"/>
    </row>
    <row r="48">
      <c r="C48" s="30" t="n"/>
    </row>
    <row r="49">
      <c r="C49" s="30" t="n"/>
    </row>
    <row r="50">
      <c r="C50" s="30" t="n"/>
    </row>
    <row r="51">
      <c r="C51" s="30" t="n"/>
    </row>
    <row r="52">
      <c r="C52" s="30" t="n"/>
    </row>
    <row r="53">
      <c r="C53" s="30" t="n"/>
    </row>
    <row r="54">
      <c r="C54" s="30" t="n"/>
    </row>
    <row r="55">
      <c r="C55" s="30" t="n"/>
    </row>
    <row r="56">
      <c r="C56" s="30" t="n"/>
    </row>
    <row r="57">
      <c r="C57" s="30" t="n"/>
    </row>
    <row r="58">
      <c r="C58" s="30" t="n"/>
    </row>
    <row r="59">
      <c r="C59" s="30" t="n"/>
    </row>
    <row r="60">
      <c r="C60" s="30" t="n"/>
    </row>
    <row r="61">
      <c r="C61" s="30" t="n"/>
    </row>
    <row r="62">
      <c r="C62" s="30" t="n"/>
    </row>
    <row r="63">
      <c r="C63" s="30" t="n"/>
    </row>
    <row r="64">
      <c r="C64" s="30" t="n"/>
    </row>
    <row r="65">
      <c r="C65" s="30" t="n"/>
    </row>
    <row r="66">
      <c r="C66" s="30" t="n"/>
    </row>
    <row r="67">
      <c r="C67" s="30" t="n"/>
    </row>
    <row r="68">
      <c r="C68" s="30" t="n"/>
    </row>
    <row r="69">
      <c r="C69" s="30" t="n"/>
    </row>
    <row r="70">
      <c r="C70" s="30" t="n"/>
    </row>
    <row r="71">
      <c r="C71" s="30" t="n"/>
    </row>
    <row r="72">
      <c r="C72" s="30" t="n"/>
    </row>
    <row r="73">
      <c r="C73" s="30" t="n"/>
    </row>
    <row r="74">
      <c r="C74" s="30" t="n"/>
    </row>
    <row r="75">
      <c r="C75" s="30" t="n"/>
    </row>
    <row r="76">
      <c r="C76" s="30" t="n"/>
    </row>
    <row r="77">
      <c r="C77" s="30" t="n"/>
    </row>
    <row r="78">
      <c r="C78" s="30" t="n"/>
    </row>
    <row r="79">
      <c r="C79" s="30" t="n"/>
    </row>
    <row r="80">
      <c r="C80" s="30" t="n"/>
    </row>
    <row r="81">
      <c r="C81" s="30" t="n"/>
    </row>
    <row r="82">
      <c r="C82" s="30" t="n"/>
    </row>
    <row r="83">
      <c r="C83" s="30" t="n"/>
    </row>
    <row r="84">
      <c r="C84" s="30" t="n"/>
    </row>
    <row r="85">
      <c r="C85" s="30" t="n"/>
    </row>
    <row r="86">
      <c r="C86" s="30" t="n"/>
    </row>
    <row r="87">
      <c r="C87" s="30" t="n"/>
    </row>
    <row r="88">
      <c r="C88" s="30" t="n"/>
    </row>
    <row r="89">
      <c r="C89" s="30" t="n"/>
    </row>
    <row r="90">
      <c r="C90" s="30" t="n"/>
    </row>
    <row r="91">
      <c r="C91" s="30" t="n"/>
    </row>
    <row r="92">
      <c r="C92" s="30" t="n"/>
    </row>
    <row r="93">
      <c r="C93" s="30" t="n"/>
    </row>
    <row r="94">
      <c r="C94" s="30" t="n"/>
    </row>
    <row r="95">
      <c r="C95" s="30" t="n"/>
    </row>
    <row r="96">
      <c r="C96" s="30" t="n"/>
    </row>
    <row r="97">
      <c r="C97" s="30" t="n"/>
    </row>
    <row r="98">
      <c r="C98" s="30" t="n"/>
    </row>
    <row r="99">
      <c r="C99" s="30" t="n"/>
    </row>
    <row r="100">
      <c r="C100" s="30" t="n"/>
    </row>
    <row r="101">
      <c r="C101" s="30" t="n"/>
    </row>
    <row r="102">
      <c r="C102" s="30" t="n"/>
    </row>
    <row r="103">
      <c r="C103" s="30" t="n"/>
    </row>
    <row r="104">
      <c r="C104" s="30" t="n"/>
    </row>
    <row r="105">
      <c r="C105" s="30" t="n"/>
    </row>
    <row r="106">
      <c r="C106" s="30" t="n"/>
    </row>
    <row r="107">
      <c r="C107" s="30" t="n"/>
    </row>
    <row r="108">
      <c r="C108" s="30" t="n"/>
    </row>
    <row r="109">
      <c r="C109" s="30" t="n"/>
    </row>
    <row r="110">
      <c r="C110" s="30" t="n"/>
    </row>
    <row r="111">
      <c r="C111" s="30" t="n"/>
    </row>
    <row r="112">
      <c r="C112" s="30" t="n"/>
    </row>
    <row r="113">
      <c r="C113" s="30" t="n"/>
    </row>
    <row r="114">
      <c r="C114" s="30" t="n"/>
    </row>
    <row r="115">
      <c r="C115" s="30" t="n"/>
    </row>
    <row r="116">
      <c r="C116" s="30" t="n"/>
    </row>
    <row r="117">
      <c r="C117" s="30" t="n"/>
    </row>
    <row r="118">
      <c r="C118" s="30" t="n"/>
    </row>
    <row r="119">
      <c r="C119" s="30" t="n"/>
    </row>
    <row r="120">
      <c r="C120" s="30" t="n"/>
    </row>
    <row r="121">
      <c r="C121" s="30" t="n"/>
    </row>
    <row r="122">
      <c r="C122" s="30" t="n"/>
    </row>
    <row r="123">
      <c r="C123" s="30" t="n"/>
    </row>
    <row r="124">
      <c r="C124" s="30" t="n"/>
    </row>
    <row r="125">
      <c r="C125" s="30" t="n"/>
    </row>
    <row r="126">
      <c r="C126" s="30" t="n"/>
    </row>
    <row r="127">
      <c r="C127" s="30" t="n"/>
    </row>
    <row r="128">
      <c r="C128" s="30" t="n"/>
    </row>
    <row r="129">
      <c r="C129" s="30" t="n"/>
    </row>
    <row r="130">
      <c r="C130" s="30" t="n"/>
    </row>
    <row r="131">
      <c r="C131" s="30" t="n"/>
    </row>
    <row r="132">
      <c r="C132" s="30" t="n"/>
    </row>
    <row r="133">
      <c r="C133" s="30" t="n"/>
    </row>
    <row r="134">
      <c r="C134" s="30" t="n"/>
    </row>
  </sheetData>
  <pageMargins left="0.7" right="0.7" top="0.75" bottom="0.75" header="0.3" footer="0.3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G15"/>
  <sheetViews>
    <sheetView zoomScale="90" zoomScaleNormal="90" workbookViewId="0">
      <selection activeCell="B4" sqref="B4"/>
    </sheetView>
  </sheetViews>
  <sheetFormatPr baseColWidth="8" defaultColWidth="8.77734375" defaultRowHeight="16.5" customHeight="1"/>
  <cols>
    <col width="14.44140625" bestFit="1" customWidth="1" style="374" min="1" max="1"/>
    <col width="15.77734375" bestFit="1" customWidth="1" style="374" min="2" max="2"/>
    <col width="6.77734375" customWidth="1" style="374" min="3" max="3"/>
    <col width="5.21875" bestFit="1" customWidth="1" style="374" min="4" max="4"/>
    <col width="9.33203125" customWidth="1" style="374" min="5" max="5"/>
  </cols>
  <sheetData>
    <row r="1" ht="16.2" customHeight="1" s="374">
      <c r="A1" s="373" t="inlineStr">
        <is>
          <t>Summary</t>
        </is>
      </c>
      <c r="G1" s="122" t="n"/>
      <c r="H1" s="122" t="n"/>
      <c r="I1" s="122" t="n"/>
      <c r="J1" s="122" t="n"/>
      <c r="K1" s="122" t="n"/>
    </row>
    <row r="2" ht="15" customHeight="1" s="374">
      <c r="A2" s="121" t="n"/>
      <c r="B2" s="124" t="n"/>
      <c r="C2" s="124" t="n"/>
      <c r="D2" s="124" t="n"/>
      <c r="E2" s="124" t="n"/>
      <c r="F2" s="123" t="n"/>
      <c r="G2" s="122" t="n"/>
      <c r="H2" s="122" t="n"/>
      <c r="I2" s="122" t="n"/>
      <c r="J2" s="122" t="n"/>
      <c r="K2" s="122" t="n"/>
    </row>
    <row r="3" ht="16.2" customHeight="1" s="374">
      <c r="A3" s="232" t="inlineStr">
        <is>
          <t>4月份Driver</t>
        </is>
      </c>
      <c r="B3" s="232" t="inlineStr">
        <is>
          <t xml:space="preserve">4月份Bonus </t>
        </is>
      </c>
      <c r="C3" s="122" t="n"/>
      <c r="D3" s="122" t="n"/>
      <c r="E3" s="122" t="n"/>
      <c r="F3" s="122" t="n"/>
      <c r="H3" s="122" t="n"/>
      <c r="I3" s="122" t="n"/>
      <c r="J3" s="122" t="n"/>
      <c r="K3" s="122" t="n"/>
      <c r="AC3" t="inlineStr">
        <is>
          <t>RICKY</t>
        </is>
      </c>
      <c r="AD3" t="inlineStr">
        <is>
          <t>CHRIS</t>
        </is>
      </c>
      <c r="AE3" t="inlineStr">
        <is>
          <t>ABBLE</t>
        </is>
      </c>
      <c r="AF3" t="inlineStr">
        <is>
          <t>KEITH</t>
        </is>
      </c>
      <c r="AG3" t="inlineStr">
        <is>
          <t>EVA</t>
        </is>
      </c>
    </row>
    <row r="4" ht="16.2" customHeight="1" s="374">
      <c r="A4" s="233">
        <f>SUM('30APR2026'!M40,'29APR2026'!M40,'28APR2026'!M40,'27APR2026'!M40,'26APR2026'!M40,'25APR2026'!M40,'24APR2026'!M40,'23APR2026'!M40,'22APR2026'!M40,'21APR2026'!M40,'20APR2026'!M40,'19APR2026'!M40,'18APR2026'!M40,'17APR2026'!M40,'16APR2026'!M40,'15APR2026'!M40,'14APR2026'!M40,'13APR2026'!M40,'12APR2026'!M40,'11APR2026'!M40,'10APR2026'!M40,'9APR2026'!M40,'8APR2026'!M40,'7APR2026'!M40,'6APR2026'!M40,'5APR2026'!M40,'4APR2026'!M40,'3APR2026'!M40,'2APR2026'!M2,'1APR2026'!M40)</f>
        <v/>
      </c>
      <c r="B4" s="233">
        <f>SUM('30APR2026'!N40,'29APR2026'!N40,'28APR2026'!N40,'27APR2026'!N40,'26APR2026'!N40,'25APR2026'!N40,'24APR2026'!N40,'23APR2026'!N40,'22APR2026'!N40,'21APR2026'!N40,'20APR2026'!N40,'19APR2026'!N40,'18APR2026'!N40,'17APR2026'!N40,'16APR2026'!N40,'15APR2026'!N40,'14APR2026'!N40,'13APR2026'!N40,'12APR2026'!N40,'11APR2026'!N40,'10APR2026'!N40,'9APR2026'!N40,'8APR2026'!N40,'7APR2026'!N40,'6APR2026'!N40,'5APR2026'!N40,'4APR2026'!N40,'3APR2026'!N40,'2APR2026'!N2,'1APR2026'!N40)</f>
        <v/>
      </c>
      <c r="C4" s="122" t="n"/>
      <c r="D4" s="122" t="n"/>
      <c r="E4" s="122" t="n"/>
      <c r="H4" s="122" t="n"/>
      <c r="I4" s="122" t="n"/>
      <c r="J4" s="122" t="n"/>
      <c r="K4" s="122" t="n"/>
      <c r="AC4" t="n">
        <v>8006</v>
      </c>
      <c r="AD4" t="n">
        <v>18818</v>
      </c>
      <c r="AE4" t="n">
        <v>32139</v>
      </c>
      <c r="AF4" t="n">
        <v>13255</v>
      </c>
      <c r="AG4" t="n">
        <v>12935</v>
      </c>
    </row>
    <row r="5" ht="16.2" customHeight="1" s="374">
      <c r="A5" s="233" t="n"/>
      <c r="B5" s="122" t="n"/>
      <c r="C5" s="122" t="n"/>
      <c r="D5" s="122" t="n"/>
      <c r="E5" s="348" t="n"/>
      <c r="G5" s="122" t="n"/>
      <c r="H5" s="122" t="n"/>
      <c r="I5" s="122" t="n"/>
      <c r="J5" s="122" t="n"/>
      <c r="K5" s="122" t="n"/>
      <c r="AC5" t="n">
        <v>5600</v>
      </c>
      <c r="AD5" t="n">
        <v>12140</v>
      </c>
      <c r="AE5" t="n">
        <v>37348</v>
      </c>
      <c r="AF5" t="n">
        <v>16309</v>
      </c>
      <c r="AG5" t="n">
        <v>15326</v>
      </c>
    </row>
    <row r="6" ht="16.2" customHeight="1" s="374">
      <c r="A6" s="122" t="n"/>
      <c r="B6" s="122" t="n"/>
      <c r="C6" s="349" t="n"/>
      <c r="D6" s="122" t="n"/>
      <c r="E6" s="122" t="n"/>
      <c r="H6" s="122" t="n"/>
      <c r="I6" s="122" t="n"/>
      <c r="J6" s="122" t="n"/>
      <c r="K6" s="122" t="n"/>
    </row>
    <row r="7" ht="16.2" customHeight="1" s="374">
      <c r="H7" s="122" t="n"/>
      <c r="I7" s="122" t="n"/>
      <c r="J7" s="122" t="n"/>
      <c r="K7" s="122" t="n"/>
    </row>
    <row r="8" ht="16.2" customHeight="1" s="374">
      <c r="C8" s="346" t="n"/>
      <c r="H8" s="122" t="n"/>
      <c r="I8" s="122" t="n"/>
      <c r="J8" s="122" t="n"/>
      <c r="K8" s="122" t="n"/>
    </row>
    <row r="9" ht="16.2" customHeight="1" s="374">
      <c r="E9" s="347" t="n"/>
      <c r="H9" s="122" t="n"/>
      <c r="I9" s="122" t="n"/>
      <c r="J9" s="122" t="n"/>
      <c r="K9" s="122" t="n"/>
    </row>
    <row r="10" ht="16.2" customHeight="1" s="374">
      <c r="H10" s="122" t="n"/>
      <c r="I10" s="122" t="n"/>
      <c r="J10" s="122" t="n"/>
      <c r="K10" s="122" t="n"/>
    </row>
    <row r="11" ht="16.2" customHeight="1" s="374">
      <c r="H11" s="122" t="n"/>
      <c r="I11" s="122" t="n"/>
      <c r="J11" s="122" t="n"/>
      <c r="K11" s="122" t="n"/>
    </row>
    <row r="12" ht="16.2" customHeight="1" s="374">
      <c r="H12" s="122" t="n"/>
      <c r="I12" s="122" t="n"/>
      <c r="J12" s="122" t="n"/>
      <c r="K12" s="122" t="n"/>
    </row>
    <row r="13" ht="16.2" customHeight="1" s="374">
      <c r="H13" s="122" t="n"/>
      <c r="I13" s="122" t="n"/>
      <c r="J13" s="122" t="n"/>
      <c r="K13" s="122" t="n"/>
    </row>
    <row r="14" ht="16.2" customHeight="1" s="374">
      <c r="H14" s="122" t="n"/>
      <c r="I14" s="122" t="n"/>
      <c r="J14" s="122" t="n"/>
      <c r="K14" s="122" t="n"/>
    </row>
    <row r="15" ht="16.2" customHeight="1" s="374">
      <c r="H15" s="122" t="n"/>
      <c r="I15" s="122" t="n"/>
      <c r="J15" s="122" t="n"/>
      <c r="K15" s="122" t="n"/>
    </row>
  </sheetData>
  <mergeCells count="1">
    <mergeCell ref="A1:F1"/>
  </mergeCells>
  <pageMargins left="0.7" right="0.7" top="0.75" bottom="0.75" header="0.3" footer="0.3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zoomScaleSheetLayoutView="100" workbookViewId="0">
      <selection activeCell="A5" sqref="A5"/>
    </sheetView>
  </sheetViews>
  <sheetFormatPr baseColWidth="8" defaultRowHeight="16.2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131"/>
  <sheetViews>
    <sheetView workbookViewId="0">
      <selection activeCell="E8" sqref="E8"/>
    </sheetView>
  </sheetViews>
  <sheetFormatPr baseColWidth="8" defaultRowHeight="16.2"/>
  <cols>
    <col width="9" customWidth="1" style="257" min="1" max="1"/>
    <col width="14" customWidth="1" style="374" min="4" max="4"/>
    <col width="25.109375" customWidth="1" style="374" min="5" max="5"/>
  </cols>
  <sheetData>
    <row r="1">
      <c r="A1" s="257" t="inlineStr">
        <is>
          <t>date</t>
        </is>
      </c>
      <c r="B1" s="278" t="inlineStr">
        <is>
          <t>Ord No.</t>
        </is>
      </c>
      <c r="C1" s="2" t="inlineStr">
        <is>
          <t>Time</t>
        </is>
      </c>
      <c r="D1" s="2" t="inlineStr">
        <is>
          <t>Trip</t>
        </is>
      </c>
      <c r="E1" s="381" t="inlineStr">
        <is>
          <t>Driver</t>
        </is>
      </c>
      <c r="F1" s="382" t="inlineStr">
        <is>
          <t>Status</t>
        </is>
      </c>
      <c r="G1" s="382" t="inlineStr">
        <is>
          <t>Pick</t>
        </is>
      </c>
      <c r="H1" s="382" t="inlineStr">
        <is>
          <t>Drop</t>
        </is>
      </c>
      <c r="I1" s="382" t="inlineStr">
        <is>
          <t>Decp</t>
        </is>
      </c>
      <c r="J1" s="383" t="inlineStr">
        <is>
          <t>Ptime</t>
        </is>
      </c>
      <c r="K1" s="384" t="inlineStr">
        <is>
          <t>Driver.Details</t>
        </is>
      </c>
      <c r="L1" s="385" t="inlineStr">
        <is>
          <t>Dvr.OT</t>
        </is>
      </c>
      <c r="M1" s="386" t="inlineStr">
        <is>
          <t>Dvr.C</t>
        </is>
      </c>
      <c r="N1" s="385" t="inlineStr">
        <is>
          <t>Driver.C+OT</t>
        </is>
      </c>
      <c r="O1" s="385" t="inlineStr">
        <is>
          <t>Bouns</t>
        </is>
      </c>
    </row>
    <row r="2">
      <c r="A2" s="257" t="inlineStr">
        <is>
          <t>13/1</t>
        </is>
      </c>
      <c r="B2" s="359" t="inlineStr">
        <is>
          <t>481241</t>
        </is>
      </c>
      <c r="C2" s="156" t="n">
        <v>0.2152777777777778</v>
      </c>
      <c r="D2" s="151" t="inlineStr">
        <is>
          <t>on hire</t>
        </is>
      </c>
      <c r="E2" s="448" t="inlineStr">
        <is>
          <t>Chris WT4251 97730040</t>
        </is>
      </c>
      <c r="F2" s="39" t="inlineStr">
        <is>
          <t>done</t>
        </is>
      </c>
      <c r="G2" s="40" t="n">
        <v>0.2388888888888889</v>
      </c>
      <c r="H2" s="40" t="n">
        <v>0.6458333333333334</v>
      </c>
      <c r="I2" s="39" t="n"/>
      <c r="J2" s="393" t="n"/>
      <c r="K2" s="453" t="inlineStr">
        <is>
          <t>on hire 10 hours, 隧道$20， 接機$200，OT$60,</t>
        </is>
      </c>
      <c r="L2" s="400" t="n">
        <v>280</v>
      </c>
      <c r="M2" s="400" t="n">
        <v>2300</v>
      </c>
      <c r="N2" s="400">
        <f>L2+M2</f>
        <v/>
      </c>
      <c r="O2" s="392" t="n">
        <v>30</v>
      </c>
      <c r="Q2" t="inlineStr">
        <is>
          <t>機場-灣仔-中環-灣仔-半山-灣仔-銅鑼灣-灣仔</t>
        </is>
      </c>
    </row>
    <row r="3">
      <c r="A3" s="257" t="inlineStr">
        <is>
          <t>15/1</t>
        </is>
      </c>
      <c r="B3" s="167" t="inlineStr">
        <is>
          <t>480490</t>
        </is>
      </c>
      <c r="C3" s="168" t="n">
        <v>0.3333333333333333</v>
      </c>
      <c r="D3" s="169" t="inlineStr">
        <is>
          <t>on hire</t>
        </is>
      </c>
      <c r="E3" s="99" t="inlineStr">
        <is>
          <t>Abble RN377 95514488</t>
        </is>
      </c>
      <c r="F3" s="448" t="inlineStr">
        <is>
          <t>Done</t>
        </is>
      </c>
      <c r="G3" s="170" t="n">
        <v>0.375</v>
      </c>
      <c r="H3" s="170" t="n">
        <v>0.7361111111111112</v>
      </c>
      <c r="I3" s="448" t="n"/>
      <c r="J3" s="457" t="n"/>
      <c r="K3" s="395" t="inlineStr">
        <is>
          <t>9 hour on hire</t>
        </is>
      </c>
      <c r="L3" s="396" t="n"/>
      <c r="M3" s="429" t="n">
        <v>2070</v>
      </c>
      <c r="N3" s="392">
        <f>L3+M3</f>
        <v/>
      </c>
      <c r="O3" s="392" t="n">
        <v>30</v>
      </c>
      <c r="P3" s="110" t="n"/>
      <c r="Q3" s="110" t="inlineStr">
        <is>
          <t>MO - 灣仔-中環-灣仔-M O-交易廣場</t>
        </is>
      </c>
    </row>
    <row r="4">
      <c r="B4" s="277" t="n"/>
      <c r="C4" s="89" t="n"/>
      <c r="D4" s="39" t="n"/>
      <c r="E4" s="399" t="n"/>
      <c r="F4" s="102" t="n"/>
      <c r="G4" s="40" t="n"/>
      <c r="H4" s="40" t="n"/>
      <c r="I4" s="398" t="n"/>
      <c r="J4" s="393" t="n"/>
      <c r="K4" s="404" t="n"/>
      <c r="L4" s="392" t="n"/>
      <c r="M4" s="391" t="n"/>
      <c r="N4" s="392" t="n"/>
      <c r="O4" s="392" t="n"/>
      <c r="P4" s="6" t="n"/>
      <c r="Q4" s="6" t="n"/>
    </row>
    <row r="5">
      <c r="B5" s="277" t="n"/>
      <c r="C5" s="89" t="n"/>
      <c r="D5" s="39" t="n"/>
      <c r="E5" s="399" t="n"/>
      <c r="F5" s="102" t="n"/>
      <c r="G5" s="40" t="n"/>
      <c r="H5" s="40" t="n"/>
      <c r="I5" s="39" t="n"/>
      <c r="J5" s="393" t="n"/>
      <c r="K5" s="395" t="n"/>
      <c r="L5" s="396" t="n"/>
      <c r="M5" s="429" t="n"/>
      <c r="N5" s="392" t="n"/>
      <c r="O5" s="392" t="n"/>
      <c r="P5" s="6" t="n"/>
      <c r="Q5" s="6" t="n"/>
    </row>
    <row r="6">
      <c r="B6" s="277" t="n"/>
      <c r="C6" s="89" t="n"/>
      <c r="D6" s="39" t="n"/>
      <c r="E6" s="399" t="n"/>
      <c r="F6" s="102" t="n"/>
      <c r="G6" s="40" t="n"/>
      <c r="H6" s="40" t="n"/>
      <c r="I6" s="39" t="n"/>
      <c r="J6" s="393" t="n"/>
      <c r="K6" s="404" t="n"/>
      <c r="L6" s="392" t="n"/>
      <c r="M6" s="391" t="n"/>
      <c r="N6" s="392" t="n"/>
      <c r="O6" s="392" t="n"/>
      <c r="P6" s="6" t="n"/>
      <c r="Q6" s="6" t="n"/>
    </row>
    <row r="7">
      <c r="B7" s="277" t="n"/>
      <c r="C7" s="89" t="n"/>
      <c r="D7" s="89" t="n"/>
      <c r="E7" s="399" t="n"/>
      <c r="F7" s="39" t="n"/>
      <c r="G7" s="40" t="n"/>
      <c r="H7" s="40" t="n"/>
      <c r="I7" s="39" t="n"/>
      <c r="J7" s="393" t="n"/>
      <c r="K7" s="393" t="n"/>
      <c r="L7" s="392" t="n"/>
      <c r="M7" s="391" t="n"/>
      <c r="N7" s="392" t="n"/>
      <c r="O7" s="392" t="n"/>
    </row>
    <row r="8">
      <c r="B8" s="277" t="n"/>
      <c r="C8" s="89" t="n"/>
      <c r="D8" s="89" t="n"/>
      <c r="E8" s="399" t="n"/>
      <c r="F8" s="102" t="n"/>
      <c r="G8" s="40" t="n"/>
      <c r="H8" s="40" t="n"/>
      <c r="I8" s="39" t="n"/>
      <c r="J8" s="393" t="n"/>
      <c r="K8" s="404" t="n"/>
      <c r="L8" s="392" t="n"/>
      <c r="M8" s="391" t="n"/>
      <c r="N8" s="392" t="n"/>
      <c r="O8" s="392" t="n"/>
      <c r="P8" s="6" t="n"/>
      <c r="Q8" s="6" t="n"/>
    </row>
    <row r="9">
      <c r="B9" s="277" t="n"/>
      <c r="C9" s="89" t="n"/>
      <c r="D9" s="89" t="n"/>
      <c r="E9" s="399" t="n"/>
      <c r="F9" s="102" t="n"/>
      <c r="G9" s="40" t="n"/>
      <c r="H9" s="40" t="n"/>
      <c r="I9" s="39" t="n"/>
      <c r="J9" s="393" t="n"/>
      <c r="K9" s="404" t="n"/>
      <c r="L9" s="392" t="n"/>
      <c r="M9" s="391" t="n"/>
      <c r="N9" s="392" t="n"/>
      <c r="O9" s="392" t="n"/>
    </row>
    <row r="10">
      <c r="B10" s="277" t="n"/>
      <c r="C10" s="89" t="n"/>
      <c r="D10" s="91" t="n"/>
      <c r="E10" s="399" t="n"/>
      <c r="F10" s="39" t="n"/>
      <c r="G10" s="40" t="n"/>
      <c r="H10" s="40" t="n"/>
      <c r="I10" s="39" t="n"/>
      <c r="J10" s="393" t="n"/>
      <c r="K10" s="404" t="n"/>
      <c r="L10" s="392" t="n"/>
      <c r="M10" s="391" t="n"/>
      <c r="N10" s="392" t="n"/>
      <c r="O10" s="392" t="n"/>
    </row>
    <row r="11">
      <c r="B11" s="277" t="n"/>
      <c r="C11" s="89" t="n"/>
      <c r="D11" s="91" t="n"/>
      <c r="E11" s="399" t="n"/>
      <c r="F11" s="39" t="n"/>
      <c r="G11" s="40" t="n"/>
      <c r="H11" s="40" t="n"/>
      <c r="I11" s="39" t="n"/>
      <c r="J11" s="393" t="n"/>
      <c r="K11" s="404" t="n"/>
      <c r="L11" s="392" t="n"/>
      <c r="M11" s="391" t="n"/>
      <c r="N11" s="400">
        <f>L11+M11</f>
        <v/>
      </c>
      <c r="O11" s="392" t="n">
        <v>0</v>
      </c>
    </row>
    <row r="12">
      <c r="B12" s="279" t="n"/>
      <c r="C12" s="46" t="n"/>
      <c r="D12" s="39" t="n"/>
      <c r="E12" s="405" t="n"/>
      <c r="F12" s="39" t="n"/>
      <c r="G12" s="40" t="n"/>
      <c r="H12" s="40" t="n"/>
      <c r="I12" s="39" t="n"/>
      <c r="J12" s="393" t="n"/>
      <c r="K12" s="404" t="n"/>
      <c r="L12" s="392" t="n"/>
      <c r="M12" s="391" t="n"/>
      <c r="N12" s="400">
        <f>L12+M12</f>
        <v/>
      </c>
      <c r="O12" s="392" t="n">
        <v>0</v>
      </c>
    </row>
    <row r="13">
      <c r="B13" s="280" t="n"/>
      <c r="C13" s="48" t="n"/>
      <c r="D13" s="39" t="n"/>
      <c r="E13" s="405" t="n"/>
      <c r="F13" s="39" t="n"/>
      <c r="G13" s="40" t="n"/>
      <c r="H13" s="40" t="n"/>
      <c r="I13" s="39" t="n"/>
      <c r="J13" s="393" t="n"/>
      <c r="K13" s="404" t="n"/>
      <c r="L13" s="392" t="n"/>
      <c r="M13" s="391" t="n"/>
      <c r="N13" s="400">
        <f>L13+M13</f>
        <v/>
      </c>
      <c r="O13" s="392" t="n">
        <v>0</v>
      </c>
    </row>
    <row r="14">
      <c r="B14" s="279" t="n"/>
      <c r="C14" s="46" t="n"/>
      <c r="D14" s="39" t="n"/>
      <c r="E14" s="399" t="n"/>
      <c r="F14" s="39" t="n"/>
      <c r="G14" s="40" t="n"/>
      <c r="H14" s="40" t="n"/>
      <c r="I14" s="39" t="n"/>
      <c r="J14" s="393" t="n"/>
      <c r="K14" s="404" t="n"/>
      <c r="L14" s="392" t="n"/>
      <c r="M14" s="392" t="n"/>
      <c r="N14" s="400">
        <f>L14+M14</f>
        <v/>
      </c>
      <c r="O14" s="392" t="n">
        <v>0</v>
      </c>
    </row>
    <row r="15">
      <c r="B15" s="278" t="n"/>
      <c r="C15" s="8" t="n"/>
      <c r="D15" s="53" t="n"/>
      <c r="E15" s="381" t="n"/>
      <c r="F15" s="53" t="n"/>
      <c r="G15" s="61" t="n"/>
      <c r="H15" s="61" t="n"/>
      <c r="I15" s="53" t="n"/>
      <c r="J15" s="403" t="n"/>
      <c r="K15" s="406" t="n"/>
      <c r="L15" s="400" t="n"/>
      <c r="M15" s="400" t="n"/>
      <c r="N15" s="400">
        <f>L15+M15</f>
        <v/>
      </c>
      <c r="O15" s="392" t="n">
        <v>0</v>
      </c>
    </row>
    <row r="16">
      <c r="B16" s="281" t="n"/>
      <c r="C16" s="62" t="n"/>
      <c r="D16" s="53" t="n"/>
      <c r="E16" s="381" t="n"/>
      <c r="F16" s="53" t="n"/>
      <c r="G16" s="61" t="n"/>
      <c r="H16" s="61" t="n"/>
      <c r="I16" s="53" t="n"/>
      <c r="J16" s="403" t="n"/>
      <c r="K16" s="406" t="n"/>
      <c r="L16" s="400" t="n"/>
      <c r="M16" s="400" t="n"/>
      <c r="N16" s="400">
        <f>L16+M16</f>
        <v/>
      </c>
      <c r="O16" s="392" t="n">
        <v>0</v>
      </c>
    </row>
    <row r="17">
      <c r="B17" s="281" t="n"/>
      <c r="C17" s="62" t="n"/>
      <c r="D17" s="53" t="n"/>
      <c r="E17" s="381" t="n"/>
      <c r="F17" s="53" t="n"/>
      <c r="G17" s="61" t="n"/>
      <c r="H17" s="61" t="n"/>
      <c r="I17" s="53" t="n"/>
      <c r="J17" s="403" t="n"/>
      <c r="K17" s="406" t="n"/>
      <c r="L17" s="400" t="n"/>
      <c r="M17" s="400" t="n"/>
      <c r="N17" s="400">
        <f>L17+M17</f>
        <v/>
      </c>
      <c r="O17" s="392" t="n">
        <v>0</v>
      </c>
    </row>
    <row r="18">
      <c r="B18" s="281" t="n"/>
      <c r="C18" s="62" t="n"/>
      <c r="D18" s="53" t="n"/>
      <c r="E18" s="381" t="n"/>
      <c r="F18" s="53" t="n"/>
      <c r="G18" s="61" t="n"/>
      <c r="H18" s="61" t="n"/>
      <c r="I18" s="53" t="n"/>
      <c r="J18" s="403" t="n"/>
      <c r="K18" s="406" t="n"/>
      <c r="L18" s="400" t="n"/>
      <c r="M18" s="400" t="n"/>
      <c r="N18" s="400">
        <f>L18+M18</f>
        <v/>
      </c>
      <c r="O18" s="392" t="n">
        <v>0</v>
      </c>
    </row>
    <row r="19">
      <c r="B19" s="281" t="n"/>
      <c r="C19" s="62" t="n"/>
      <c r="D19" s="53" t="n"/>
      <c r="E19" s="381" t="n"/>
      <c r="F19" s="53" t="n"/>
      <c r="G19" s="61" t="n"/>
      <c r="H19" s="61" t="n"/>
      <c r="I19" s="53" t="n"/>
      <c r="J19" s="403" t="n"/>
      <c r="K19" s="406" t="n"/>
      <c r="L19" s="400" t="n"/>
      <c r="M19" s="400" t="n"/>
      <c r="N19" s="400">
        <f>L19+M19</f>
        <v/>
      </c>
      <c r="O19" s="392" t="n">
        <v>0</v>
      </c>
    </row>
    <row r="20">
      <c r="B20" s="281" t="n"/>
      <c r="C20" s="62" t="n"/>
      <c r="D20" s="53" t="n"/>
      <c r="E20" s="407" t="n"/>
      <c r="F20" s="53" t="n"/>
      <c r="G20" s="61" t="n"/>
      <c r="H20" s="61" t="n"/>
      <c r="I20" s="53" t="n"/>
      <c r="J20" s="403" t="n"/>
      <c r="K20" s="406" t="n"/>
      <c r="L20" s="400" t="n"/>
      <c r="M20" s="400" t="n"/>
      <c r="N20" s="400">
        <f>L20+M20</f>
        <v/>
      </c>
      <c r="O20" s="392" t="n">
        <v>0</v>
      </c>
    </row>
    <row r="21">
      <c r="B21" s="281" t="n"/>
      <c r="C21" s="62" t="n"/>
      <c r="D21" s="53" t="n"/>
      <c r="E21" s="53" t="n"/>
      <c r="F21" s="53" t="n"/>
      <c r="G21" s="61" t="n"/>
      <c r="H21" s="61" t="n"/>
      <c r="I21" s="53" t="n"/>
      <c r="J21" s="403" t="n"/>
      <c r="K21" s="406" t="n"/>
      <c r="L21" s="400" t="n"/>
      <c r="M21" s="400" t="n"/>
      <c r="N21" s="400">
        <f>L21+M21</f>
        <v/>
      </c>
      <c r="O21" s="392" t="n">
        <v>0</v>
      </c>
    </row>
    <row r="22">
      <c r="B22" s="281" t="n"/>
      <c r="C22" s="62" t="n"/>
      <c r="D22" s="53" t="n"/>
      <c r="E22" s="407" t="n"/>
      <c r="F22" s="53" t="n"/>
      <c r="G22" s="61" t="n"/>
      <c r="H22" s="61" t="n"/>
      <c r="I22" s="53" t="n"/>
      <c r="J22" s="403" t="n"/>
      <c r="K22" s="406" t="n"/>
      <c r="L22" s="400" t="n"/>
      <c r="M22" s="400" t="n"/>
      <c r="N22" s="400">
        <f>L22+M22</f>
        <v/>
      </c>
      <c r="O22" s="392" t="n">
        <v>0</v>
      </c>
    </row>
    <row r="23">
      <c r="B23" s="281" t="n"/>
      <c r="C23" s="62" t="n"/>
      <c r="D23" s="53" t="n"/>
      <c r="E23" s="53" t="n"/>
      <c r="F23" s="53" t="n"/>
      <c r="G23" s="61" t="n"/>
      <c r="H23" s="61" t="n"/>
      <c r="I23" s="53" t="n"/>
      <c r="J23" s="403" t="n"/>
      <c r="K23" s="406" t="n"/>
      <c r="L23" s="400" t="n"/>
      <c r="M23" s="400" t="n"/>
      <c r="N23" s="400">
        <f>L23+M23</f>
        <v/>
      </c>
      <c r="O23" s="392" t="n">
        <v>0</v>
      </c>
    </row>
    <row r="24">
      <c r="B24" s="281" t="n"/>
      <c r="C24" s="62" t="n"/>
      <c r="D24" s="53" t="n"/>
      <c r="E24" s="381" t="n"/>
      <c r="F24" s="53" t="n"/>
      <c r="G24" s="61" t="n"/>
      <c r="H24" s="61" t="n"/>
      <c r="I24" s="53" t="n"/>
      <c r="J24" s="403" t="n"/>
      <c r="K24" s="406" t="n"/>
      <c r="L24" s="400" t="n"/>
      <c r="M24" s="400" t="n"/>
      <c r="N24" s="400">
        <f>L24+M24</f>
        <v/>
      </c>
      <c r="O24" s="392" t="n">
        <v>0</v>
      </c>
    </row>
    <row r="25">
      <c r="B25" s="281" t="n"/>
      <c r="C25" s="62" t="n"/>
      <c r="D25" s="53" t="n"/>
      <c r="E25" s="427" t="n"/>
      <c r="F25" s="53" t="n"/>
      <c r="G25" s="61" t="n"/>
      <c r="H25" s="61" t="n"/>
      <c r="I25" s="53" t="n"/>
      <c r="J25" s="403" t="n"/>
      <c r="K25" s="406" t="n"/>
      <c r="L25" s="400" t="n"/>
      <c r="M25" s="400" t="n"/>
      <c r="N25" s="400">
        <f>L25+M25</f>
        <v/>
      </c>
      <c r="O25" s="392" t="n">
        <v>0</v>
      </c>
    </row>
    <row r="26">
      <c r="B26" s="281" t="n"/>
      <c r="C26" s="62" t="n"/>
      <c r="D26" s="53" t="n"/>
      <c r="E26" s="381" t="n"/>
      <c r="F26" s="53" t="n"/>
      <c r="G26" s="61" t="n"/>
      <c r="H26" s="61" t="n"/>
      <c r="I26" s="53" t="n"/>
      <c r="J26" s="403" t="n"/>
      <c r="K26" s="406" t="n"/>
      <c r="L26" s="400" t="n"/>
      <c r="M26" s="400" t="n"/>
      <c r="N26" s="400">
        <f>L26+M26</f>
        <v/>
      </c>
      <c r="O26" s="392" t="n">
        <v>0</v>
      </c>
    </row>
    <row r="27">
      <c r="B27" s="281" t="n"/>
      <c r="C27" s="62" t="n"/>
      <c r="D27" s="53" t="n"/>
      <c r="E27" s="9" t="n"/>
      <c r="F27" s="53" t="n"/>
      <c r="G27" s="61" t="n"/>
      <c r="H27" s="61" t="n"/>
      <c r="I27" s="53" t="n"/>
      <c r="J27" s="403" t="n"/>
      <c r="K27" s="406" t="n"/>
      <c r="L27" s="400" t="n"/>
      <c r="M27" s="400" t="n"/>
      <c r="N27" s="400">
        <f>L27+M27</f>
        <v/>
      </c>
      <c r="O27" s="392" t="n">
        <v>0</v>
      </c>
    </row>
    <row r="28">
      <c r="B28" s="281" t="n"/>
      <c r="C28" s="62" t="n"/>
      <c r="D28" s="53" t="n"/>
      <c r="E28" s="381" t="n"/>
      <c r="F28" s="53" t="n"/>
      <c r="G28" s="61" t="n"/>
      <c r="H28" s="61" t="n"/>
      <c r="I28" s="53" t="n"/>
      <c r="J28" s="403" t="n"/>
      <c r="K28" s="406" t="n"/>
      <c r="L28" s="400" t="n"/>
      <c r="M28" s="400" t="n"/>
      <c r="N28" s="400">
        <f>L28+M28</f>
        <v/>
      </c>
      <c r="O28" s="392" t="n">
        <v>0</v>
      </c>
    </row>
    <row r="29">
      <c r="B29" s="281" t="n"/>
      <c r="C29" s="62" t="n"/>
      <c r="D29" s="53" t="n"/>
      <c r="E29" s="381" t="n"/>
      <c r="F29" s="53" t="n"/>
      <c r="G29" s="61" t="n"/>
      <c r="H29" s="61" t="n"/>
      <c r="I29" s="53" t="n"/>
      <c r="J29" s="403" t="n"/>
      <c r="K29" s="406" t="n"/>
      <c r="L29" s="400" t="n"/>
      <c r="M29" s="400" t="n"/>
      <c r="N29" s="400">
        <f>L29+M29</f>
        <v/>
      </c>
      <c r="O29" s="392" t="n">
        <v>0</v>
      </c>
    </row>
    <row r="30">
      <c r="B30" s="281" t="n"/>
      <c r="C30" s="62" t="n"/>
      <c r="D30" s="53" t="n"/>
      <c r="E30" s="407" t="n"/>
      <c r="F30" s="10" t="n"/>
      <c r="G30" s="61" t="n"/>
      <c r="H30" s="61" t="n"/>
      <c r="I30" s="10" t="n"/>
      <c r="J30" s="412" t="n"/>
      <c r="K30" s="409" t="n"/>
      <c r="L30" s="410" t="n"/>
      <c r="M30" s="410" t="n"/>
      <c r="N30" s="400">
        <f>L30+M30</f>
        <v/>
      </c>
      <c r="O30" s="392" t="n">
        <v>0</v>
      </c>
    </row>
    <row r="31">
      <c r="B31" s="282" t="n"/>
      <c r="C31" s="15" t="n"/>
      <c r="D31" s="10" t="n"/>
      <c r="E31" s="381" t="n"/>
      <c r="F31" s="10" t="n"/>
      <c r="G31" s="61" t="n"/>
      <c r="H31" s="61" t="n"/>
      <c r="I31" s="10" t="n"/>
      <c r="J31" s="412" t="n"/>
      <c r="K31" s="409" t="n"/>
      <c r="L31" s="410" t="n"/>
      <c r="M31" s="410" t="n"/>
      <c r="N31" s="400">
        <f>L31+M31</f>
        <v/>
      </c>
      <c r="O31" s="392" t="n">
        <v>0</v>
      </c>
    </row>
    <row r="32">
      <c r="B32" s="282" t="n"/>
      <c r="C32" s="15" t="n"/>
      <c r="D32" s="10" t="n"/>
      <c r="E32" s="411" t="n"/>
      <c r="F32" s="10" t="n"/>
      <c r="G32" s="61" t="n"/>
      <c r="H32" s="61" t="n"/>
      <c r="I32" s="10" t="n"/>
      <c r="J32" s="412" t="n"/>
      <c r="K32" s="409" t="n"/>
      <c r="L32" s="410" t="n"/>
      <c r="M32" s="410" t="n"/>
      <c r="N32" s="400">
        <f>L32+M32</f>
        <v/>
      </c>
      <c r="O32" s="392" t="n">
        <v>0</v>
      </c>
    </row>
    <row r="33">
      <c r="B33" s="282" t="n"/>
      <c r="C33" s="15" t="n"/>
      <c r="D33" s="10" t="n"/>
      <c r="E33" s="411" t="n"/>
      <c r="F33" s="10" t="n"/>
      <c r="G33" s="61" t="n"/>
      <c r="H33" s="61" t="n"/>
      <c r="I33" s="10" t="n"/>
      <c r="J33" s="412" t="n"/>
      <c r="K33" s="409" t="n"/>
      <c r="L33" s="410" t="n"/>
      <c r="M33" s="410" t="n"/>
      <c r="N33" s="400">
        <f>L33+M33</f>
        <v/>
      </c>
      <c r="O33" s="392" t="n">
        <v>0</v>
      </c>
    </row>
    <row r="34">
      <c r="B34" s="282" t="n"/>
      <c r="C34" s="15" t="n"/>
      <c r="D34" s="10" t="n"/>
      <c r="E34" s="381" t="n"/>
      <c r="F34" s="10" t="n"/>
      <c r="G34" s="61" t="n"/>
      <c r="H34" s="61" t="n"/>
      <c r="I34" s="10" t="n"/>
      <c r="J34" s="412" t="n"/>
      <c r="K34" s="409" t="n"/>
      <c r="L34" s="410" t="n"/>
      <c r="M34" s="410" t="n"/>
      <c r="N34" s="400">
        <f>L34+M34</f>
        <v/>
      </c>
      <c r="O34" s="392" t="n">
        <v>0</v>
      </c>
    </row>
    <row r="35">
      <c r="B35" s="283" t="n"/>
      <c r="C35" s="18" t="n"/>
      <c r="D35" s="10" t="n"/>
      <c r="E35" s="402" t="n"/>
      <c r="F35" s="10" t="n"/>
      <c r="G35" s="61" t="n"/>
      <c r="H35" s="61" t="n"/>
      <c r="I35" s="10" t="n"/>
      <c r="J35" s="412" t="n"/>
      <c r="K35" s="409" t="n"/>
      <c r="L35" s="410" t="n"/>
      <c r="M35" s="410" t="n"/>
      <c r="N35" s="400">
        <f>L35+M35</f>
        <v/>
      </c>
      <c r="O35" s="392" t="n">
        <v>0</v>
      </c>
    </row>
    <row r="36">
      <c r="B36" s="81" t="n"/>
      <c r="C36" s="82" t="n"/>
      <c r="D36" s="76" t="n"/>
      <c r="E36" s="454" t="n"/>
      <c r="F36" s="76" t="n"/>
      <c r="G36" s="77" t="n"/>
      <c r="H36" s="77" t="n"/>
      <c r="I36" s="76" t="n"/>
      <c r="J36" s="431" t="n"/>
      <c r="K36" s="432" t="n"/>
      <c r="L36" s="433" t="n"/>
      <c r="M36" s="433" t="n"/>
      <c r="N36" s="434" t="n"/>
      <c r="O36" s="392" t="n">
        <v>0</v>
      </c>
    </row>
    <row r="37">
      <c r="B37" s="20" t="n"/>
      <c r="C37" s="21" t="n"/>
      <c r="D37" s="22" t="n"/>
      <c r="E37" s="21" t="n"/>
      <c r="F37" s="21" t="n"/>
      <c r="G37" s="21" t="n"/>
      <c r="H37" s="21" t="n"/>
      <c r="I37" s="21" t="n"/>
      <c r="K37" s="420" t="n"/>
      <c r="L37" s="421" t="n"/>
      <c r="M37" s="421" t="n"/>
      <c r="N37" s="380" t="n"/>
      <c r="O37" s="392" t="n">
        <v>0</v>
      </c>
    </row>
    <row r="38">
      <c r="B38" s="20" t="n"/>
      <c r="C38" s="21" t="n"/>
      <c r="D38" s="22" t="n"/>
      <c r="E38" s="21" t="n"/>
      <c r="F38" s="21" t="n"/>
      <c r="G38" s="21" t="n"/>
      <c r="H38" s="21" t="n"/>
      <c r="I38" s="21" t="n"/>
      <c r="K38" s="420" t="n"/>
      <c r="L38" s="421" t="n"/>
      <c r="M38" s="421" t="n"/>
      <c r="N38" s="424" t="n"/>
    </row>
    <row r="39">
      <c r="B39" s="20" t="n"/>
      <c r="C39" s="21" t="n"/>
      <c r="D39" s="22" t="n"/>
      <c r="E39" s="21" t="n"/>
      <c r="F39" s="21" t="n"/>
      <c r="G39" s="21" t="n"/>
      <c r="H39" s="21" t="n"/>
      <c r="I39" s="21" t="n"/>
      <c r="K39" s="420" t="n"/>
      <c r="L39" s="421" t="n"/>
      <c r="M39" s="421" t="n"/>
      <c r="N39" s="423">
        <f>SUM(N2:N35)</f>
        <v/>
      </c>
      <c r="O39" s="423">
        <f>SUM(O2:O36)</f>
        <v/>
      </c>
    </row>
    <row r="40">
      <c r="B40" s="29" t="n"/>
      <c r="D40" s="30" t="n"/>
      <c r="K40" s="379" t="n"/>
      <c r="L40" s="380" t="n"/>
      <c r="M40" s="380" t="n"/>
      <c r="N40" s="380" t="n"/>
    </row>
    <row r="41">
      <c r="B41" s="29" t="n"/>
      <c r="D41" s="30" t="n"/>
      <c r="K41" s="379" t="n"/>
      <c r="L41" s="380" t="n"/>
      <c r="M41" s="380" t="n"/>
      <c r="N41" s="380" t="n"/>
    </row>
    <row r="42">
      <c r="B42" s="29" t="n"/>
      <c r="D42" s="30" t="n"/>
      <c r="K42" s="379" t="n"/>
      <c r="L42" s="380" t="n"/>
      <c r="M42" s="380" t="n"/>
      <c r="N42" s="380" t="n"/>
    </row>
    <row r="43">
      <c r="B43" s="29" t="n"/>
      <c r="D43" s="30" t="n"/>
      <c r="K43" s="379" t="n"/>
      <c r="L43" s="380" t="n"/>
      <c r="M43" s="380" t="n"/>
      <c r="N43" s="380" t="n"/>
    </row>
    <row r="44">
      <c r="B44" s="29" t="n"/>
      <c r="D44" s="30" t="n"/>
      <c r="K44" s="379" t="n"/>
      <c r="L44" s="380" t="n"/>
      <c r="M44" s="380" t="n"/>
      <c r="N44" s="380" t="n"/>
    </row>
    <row r="45">
      <c r="B45" s="29" t="n"/>
      <c r="D45" s="30" t="n"/>
      <c r="K45" s="379" t="n"/>
      <c r="L45" s="380" t="n"/>
      <c r="M45" s="380" t="n"/>
      <c r="N45" s="380" t="n"/>
    </row>
    <row r="46">
      <c r="B46" s="29" t="n"/>
      <c r="D46" s="30" t="n"/>
      <c r="K46" s="379" t="n"/>
      <c r="L46" s="380" t="n"/>
      <c r="M46" s="380" t="n"/>
      <c r="N46" s="380" t="n"/>
    </row>
    <row r="47">
      <c r="B47" s="29" t="n"/>
      <c r="D47" s="30" t="n"/>
      <c r="K47" s="379" t="n"/>
      <c r="L47" s="380" t="n"/>
      <c r="M47" s="380" t="n"/>
      <c r="N47" s="380" t="n"/>
    </row>
    <row r="48">
      <c r="B48" s="29" t="n"/>
      <c r="D48" s="30" t="n"/>
      <c r="K48" s="379" t="n"/>
      <c r="L48" s="380" t="n"/>
      <c r="M48" s="380" t="n"/>
      <c r="N48" s="380" t="n"/>
    </row>
    <row r="49">
      <c r="B49" s="29" t="n"/>
      <c r="D49" s="30" t="n"/>
      <c r="K49" s="379" t="n"/>
      <c r="L49" s="380" t="n"/>
      <c r="M49" s="380" t="n"/>
      <c r="N49" s="380" t="n"/>
    </row>
    <row r="50">
      <c r="B50" s="29" t="n"/>
      <c r="D50" s="30" t="n"/>
      <c r="K50" s="379" t="n"/>
      <c r="L50" s="380" t="n"/>
      <c r="M50" s="380" t="n"/>
      <c r="N50" s="380" t="n"/>
    </row>
    <row r="51">
      <c r="B51" s="29" t="n"/>
      <c r="D51" s="30" t="n"/>
      <c r="K51" s="379" t="n"/>
      <c r="L51" s="380" t="n"/>
      <c r="M51" s="380" t="n"/>
      <c r="N51" s="380" t="n"/>
    </row>
    <row r="52">
      <c r="B52" s="29" t="n"/>
      <c r="D52" s="30" t="n"/>
      <c r="K52" s="379" t="n"/>
      <c r="L52" s="380" t="n"/>
      <c r="M52" s="380" t="n"/>
      <c r="N52" s="380" t="n"/>
    </row>
    <row r="53">
      <c r="B53" s="29" t="n"/>
      <c r="D53" s="30" t="n"/>
      <c r="K53" s="379" t="n"/>
      <c r="L53" s="380" t="n"/>
      <c r="M53" s="380" t="n"/>
      <c r="N53" s="380" t="n"/>
    </row>
    <row r="54">
      <c r="B54" s="29" t="n"/>
      <c r="D54" s="30" t="n"/>
      <c r="K54" s="379" t="n"/>
      <c r="L54" s="380" t="n"/>
      <c r="M54" s="380" t="n"/>
      <c r="N54" s="380" t="n"/>
    </row>
    <row r="55">
      <c r="B55" s="29" t="n"/>
      <c r="D55" s="30" t="n"/>
      <c r="K55" s="379" t="n"/>
      <c r="L55" s="380" t="n"/>
      <c r="M55" s="380" t="n"/>
      <c r="N55" s="380" t="n"/>
    </row>
    <row r="56">
      <c r="B56" s="29" t="n"/>
      <c r="D56" s="30" t="n"/>
      <c r="K56" s="379" t="n"/>
      <c r="L56" s="380" t="n"/>
      <c r="M56" s="380" t="n"/>
      <c r="N56" s="380" t="n"/>
    </row>
    <row r="57">
      <c r="B57" s="29" t="n"/>
      <c r="D57" s="30" t="n"/>
      <c r="K57" s="379" t="n"/>
      <c r="L57" s="380" t="n"/>
      <c r="M57" s="380" t="n"/>
      <c r="N57" s="380" t="n"/>
    </row>
    <row r="58">
      <c r="B58" s="29" t="n"/>
      <c r="D58" s="30" t="n"/>
      <c r="K58" s="379" t="n"/>
      <c r="L58" s="380" t="n"/>
      <c r="M58" s="380" t="n"/>
      <c r="N58" s="380" t="n"/>
    </row>
    <row r="59">
      <c r="B59" s="29" t="n"/>
      <c r="D59" s="30" t="n"/>
      <c r="K59" s="379" t="n"/>
      <c r="L59" s="380" t="n"/>
      <c r="M59" s="380" t="n"/>
      <c r="N59" s="380" t="n"/>
    </row>
    <row r="60">
      <c r="B60" s="29" t="n"/>
      <c r="D60" s="30" t="n"/>
      <c r="K60" s="379" t="n"/>
      <c r="L60" s="380" t="n"/>
      <c r="M60" s="380" t="n"/>
      <c r="N60" s="380" t="n"/>
    </row>
    <row r="61">
      <c r="B61" s="29" t="n"/>
      <c r="D61" s="30" t="n"/>
      <c r="K61" s="379" t="n"/>
      <c r="L61" s="380" t="n"/>
      <c r="M61" s="380" t="n"/>
      <c r="N61" s="380" t="n"/>
    </row>
    <row r="62">
      <c r="B62" s="29" t="n"/>
      <c r="D62" s="30" t="n"/>
      <c r="K62" s="379" t="n"/>
      <c r="L62" s="380" t="n"/>
      <c r="M62" s="380" t="n"/>
      <c r="N62" s="380" t="n"/>
    </row>
    <row r="63">
      <c r="B63" s="29" t="n"/>
      <c r="D63" s="30" t="n"/>
      <c r="K63" s="379" t="n"/>
      <c r="L63" s="380" t="n"/>
      <c r="M63" s="380" t="n"/>
      <c r="N63" s="380" t="n"/>
    </row>
    <row r="64">
      <c r="B64" s="29" t="n"/>
      <c r="D64" s="30" t="n"/>
      <c r="K64" s="379" t="n"/>
      <c r="L64" s="380" t="n"/>
      <c r="M64" s="380" t="n"/>
      <c r="N64" s="380" t="n"/>
    </row>
    <row r="65">
      <c r="B65" s="29" t="n"/>
      <c r="D65" s="30" t="n"/>
      <c r="K65" s="379" t="n"/>
      <c r="L65" s="380" t="n"/>
      <c r="M65" s="380" t="n"/>
      <c r="N65" s="380" t="n"/>
    </row>
    <row r="66">
      <c r="B66" s="29" t="n"/>
      <c r="D66" s="30" t="n"/>
      <c r="K66" s="379" t="n"/>
      <c r="L66" s="380" t="n"/>
      <c r="M66" s="380" t="n"/>
      <c r="N66" s="380" t="n"/>
    </row>
    <row r="67">
      <c r="B67" s="29" t="n"/>
      <c r="D67" s="30" t="n"/>
      <c r="K67" s="379" t="n"/>
      <c r="L67" s="380" t="n"/>
      <c r="M67" s="380" t="n"/>
      <c r="N67" s="380" t="n"/>
    </row>
    <row r="68">
      <c r="B68" s="29" t="n"/>
      <c r="D68" s="30" t="n"/>
      <c r="K68" s="379" t="n"/>
      <c r="L68" s="380" t="n"/>
      <c r="M68" s="380" t="n"/>
      <c r="N68" s="380" t="n"/>
    </row>
    <row r="69">
      <c r="B69" s="29" t="n"/>
      <c r="D69" s="30" t="n"/>
      <c r="K69" s="379" t="n"/>
      <c r="L69" s="380" t="n"/>
      <c r="M69" s="380" t="n"/>
      <c r="N69" s="380" t="n"/>
    </row>
    <row r="70">
      <c r="B70" s="29" t="n"/>
      <c r="D70" s="30" t="n"/>
      <c r="K70" s="379" t="n"/>
      <c r="L70" s="380" t="n"/>
      <c r="M70" s="380" t="n"/>
      <c r="N70" s="380" t="n"/>
    </row>
    <row r="71">
      <c r="B71" s="29" t="n"/>
      <c r="D71" s="30" t="n"/>
      <c r="K71" s="379" t="n"/>
      <c r="L71" s="380" t="n"/>
      <c r="M71" s="380" t="n"/>
      <c r="N71" s="380" t="n"/>
    </row>
    <row r="72">
      <c r="B72" s="29" t="n"/>
      <c r="D72" s="30" t="n"/>
      <c r="K72" s="379" t="n"/>
      <c r="L72" s="380" t="n"/>
      <c r="M72" s="380" t="n"/>
      <c r="N72" s="380" t="n"/>
    </row>
    <row r="73">
      <c r="B73" s="29" t="n"/>
      <c r="D73" s="30" t="n"/>
      <c r="K73" s="379" t="n"/>
      <c r="L73" s="380" t="n"/>
      <c r="M73" s="380" t="n"/>
      <c r="N73" s="380" t="n"/>
    </row>
    <row r="74">
      <c r="B74" s="29" t="n"/>
      <c r="D74" s="30" t="n"/>
      <c r="K74" s="379" t="n"/>
      <c r="L74" s="380" t="n"/>
      <c r="M74" s="380" t="n"/>
      <c r="N74" s="380" t="n"/>
    </row>
    <row r="75">
      <c r="B75" s="29" t="n"/>
      <c r="D75" s="30" t="n"/>
      <c r="K75" s="379" t="n"/>
      <c r="L75" s="380" t="n"/>
      <c r="M75" s="380" t="n"/>
      <c r="N75" s="380" t="n"/>
    </row>
    <row r="76">
      <c r="B76" s="29" t="n"/>
      <c r="D76" s="30" t="n"/>
      <c r="K76" s="379" t="n"/>
      <c r="L76" s="380" t="n"/>
      <c r="M76" s="380" t="n"/>
      <c r="N76" s="380" t="n"/>
    </row>
    <row r="77">
      <c r="B77" s="29" t="n"/>
      <c r="D77" s="30" t="n"/>
      <c r="K77" s="379" t="n"/>
      <c r="L77" s="380" t="n"/>
      <c r="M77" s="380" t="n"/>
      <c r="N77" s="380" t="n"/>
    </row>
    <row r="78">
      <c r="B78" s="29" t="n"/>
      <c r="D78" s="30" t="n"/>
      <c r="K78" s="379" t="n"/>
      <c r="L78" s="380" t="n"/>
      <c r="M78" s="380" t="n"/>
      <c r="N78" s="380" t="n"/>
    </row>
    <row r="79">
      <c r="B79" s="29" t="n"/>
      <c r="D79" s="30" t="n"/>
      <c r="K79" s="379" t="n"/>
      <c r="L79" s="380" t="n"/>
      <c r="M79" s="380" t="n"/>
      <c r="N79" s="380" t="n"/>
    </row>
    <row r="80">
      <c r="B80" s="29" t="n"/>
      <c r="D80" s="30" t="n"/>
      <c r="K80" s="379" t="n"/>
      <c r="L80" s="380" t="n"/>
      <c r="M80" s="380" t="n"/>
      <c r="N80" s="380" t="n"/>
    </row>
    <row r="81">
      <c r="B81" s="29" t="n"/>
      <c r="D81" s="30" t="n"/>
      <c r="K81" s="379" t="n"/>
      <c r="L81" s="380" t="n"/>
      <c r="M81" s="380" t="n"/>
      <c r="N81" s="380" t="n"/>
    </row>
    <row r="82">
      <c r="B82" s="29" t="n"/>
      <c r="D82" s="30" t="n"/>
      <c r="K82" s="379" t="n"/>
      <c r="L82" s="380" t="n"/>
      <c r="M82" s="380" t="n"/>
      <c r="N82" s="380" t="n"/>
    </row>
    <row r="83">
      <c r="B83" s="29" t="n"/>
      <c r="D83" s="30" t="n"/>
      <c r="K83" s="379" t="n"/>
      <c r="L83" s="380" t="n"/>
      <c r="M83" s="380" t="n"/>
      <c r="N83" s="380" t="n"/>
    </row>
    <row r="84">
      <c r="B84" s="29" t="n"/>
      <c r="D84" s="30" t="n"/>
      <c r="K84" s="379" t="n"/>
      <c r="L84" s="380" t="n"/>
      <c r="M84" s="380" t="n"/>
      <c r="N84" s="380" t="n"/>
    </row>
    <row r="85">
      <c r="B85" s="29" t="n"/>
      <c r="D85" s="30" t="n"/>
      <c r="K85" s="379" t="n"/>
      <c r="L85" s="380" t="n"/>
      <c r="M85" s="380" t="n"/>
      <c r="N85" s="380" t="n"/>
    </row>
    <row r="86">
      <c r="B86" s="29" t="n"/>
      <c r="D86" s="30" t="n"/>
      <c r="K86" s="379" t="n"/>
      <c r="L86" s="380" t="n"/>
      <c r="M86" s="380" t="n"/>
      <c r="N86" s="380" t="n"/>
    </row>
    <row r="87">
      <c r="B87" s="29" t="n"/>
      <c r="D87" s="30" t="n"/>
      <c r="K87" s="379" t="n"/>
      <c r="L87" s="380" t="n"/>
      <c r="M87" s="380" t="n"/>
      <c r="N87" s="380" t="n"/>
    </row>
    <row r="88">
      <c r="B88" s="29" t="n"/>
      <c r="D88" s="30" t="n"/>
      <c r="K88" s="379" t="n"/>
      <c r="L88" s="380" t="n"/>
      <c r="M88" s="380" t="n"/>
      <c r="N88" s="380" t="n"/>
    </row>
    <row r="89">
      <c r="B89" s="29" t="n"/>
      <c r="D89" s="30" t="n"/>
      <c r="K89" s="379" t="n"/>
      <c r="L89" s="380" t="n"/>
      <c r="M89" s="380" t="n"/>
      <c r="N89" s="380" t="n"/>
    </row>
    <row r="90">
      <c r="B90" s="29" t="n"/>
      <c r="D90" s="30" t="n"/>
      <c r="K90" s="379" t="n"/>
      <c r="L90" s="380" t="n"/>
      <c r="M90" s="380" t="n"/>
      <c r="N90" s="380" t="n"/>
    </row>
    <row r="91">
      <c r="B91" s="29" t="n"/>
      <c r="D91" s="30" t="n"/>
      <c r="K91" s="379" t="n"/>
      <c r="L91" s="380" t="n"/>
      <c r="M91" s="380" t="n"/>
      <c r="N91" s="380" t="n"/>
    </row>
    <row r="92">
      <c r="B92" s="29" t="n"/>
      <c r="D92" s="30" t="n"/>
      <c r="K92" s="379" t="n"/>
      <c r="L92" s="380" t="n"/>
      <c r="M92" s="380" t="n"/>
      <c r="N92" s="380" t="n"/>
    </row>
    <row r="93">
      <c r="B93" s="29" t="n"/>
      <c r="D93" s="30" t="n"/>
      <c r="K93" s="379" t="n"/>
      <c r="L93" s="380" t="n"/>
      <c r="M93" s="380" t="n"/>
      <c r="N93" s="380" t="n"/>
    </row>
    <row r="94">
      <c r="B94" s="29" t="n"/>
      <c r="D94" s="30" t="n"/>
      <c r="K94" s="379" t="n"/>
      <c r="L94" s="380" t="n"/>
      <c r="M94" s="380" t="n"/>
      <c r="N94" s="380" t="n"/>
    </row>
    <row r="95">
      <c r="B95" s="29" t="n"/>
      <c r="D95" s="30" t="n"/>
      <c r="K95" s="379" t="n"/>
      <c r="L95" s="380" t="n"/>
      <c r="M95" s="380" t="n"/>
      <c r="N95" s="380" t="n"/>
    </row>
    <row r="96">
      <c r="B96" s="29" t="n"/>
      <c r="D96" s="30" t="n"/>
      <c r="K96" s="379" t="n"/>
      <c r="L96" s="380" t="n"/>
      <c r="M96" s="380" t="n"/>
      <c r="N96" s="380" t="n"/>
    </row>
    <row r="97">
      <c r="B97" s="29" t="n"/>
      <c r="D97" s="30" t="n"/>
      <c r="K97" s="379" t="n"/>
      <c r="L97" s="380" t="n"/>
      <c r="M97" s="380" t="n"/>
      <c r="N97" s="380" t="n"/>
    </row>
    <row r="98">
      <c r="B98" s="29" t="n"/>
      <c r="D98" s="30" t="n"/>
      <c r="K98" s="379" t="n"/>
      <c r="L98" s="380" t="n"/>
      <c r="M98" s="380" t="n"/>
      <c r="N98" s="380" t="n"/>
    </row>
    <row r="99">
      <c r="B99" s="29" t="n"/>
      <c r="D99" s="30" t="n"/>
      <c r="K99" s="379" t="n"/>
      <c r="L99" s="380" t="n"/>
      <c r="M99" s="380" t="n"/>
      <c r="N99" s="380" t="n"/>
    </row>
    <row r="100">
      <c r="B100" s="29" t="n"/>
      <c r="D100" s="30" t="n"/>
      <c r="K100" s="379" t="n"/>
      <c r="L100" s="380" t="n"/>
      <c r="M100" s="380" t="n"/>
      <c r="N100" s="380" t="n"/>
    </row>
    <row r="101">
      <c r="B101" s="29" t="n"/>
      <c r="D101" s="30" t="n"/>
      <c r="K101" s="379" t="n"/>
      <c r="L101" s="380" t="n"/>
      <c r="M101" s="380" t="n"/>
      <c r="N101" s="380" t="n"/>
    </row>
    <row r="102">
      <c r="B102" s="29" t="n"/>
      <c r="D102" s="30" t="n"/>
      <c r="K102" s="379" t="n"/>
      <c r="L102" s="380" t="n"/>
      <c r="M102" s="380" t="n"/>
      <c r="N102" s="380" t="n"/>
    </row>
    <row r="103">
      <c r="B103" s="29" t="n"/>
      <c r="D103" s="30" t="n"/>
      <c r="K103" s="379" t="n"/>
      <c r="L103" s="380" t="n"/>
      <c r="M103" s="380" t="n"/>
      <c r="N103" s="380" t="n"/>
    </row>
    <row r="104">
      <c r="B104" s="29" t="n"/>
      <c r="D104" s="30" t="n"/>
      <c r="K104" s="379" t="n"/>
      <c r="L104" s="380" t="n"/>
      <c r="M104" s="380" t="n"/>
      <c r="N104" s="380" t="n"/>
    </row>
    <row r="105">
      <c r="B105" s="29" t="n"/>
      <c r="D105" s="30" t="n"/>
      <c r="K105" s="379" t="n"/>
      <c r="L105" s="380" t="n"/>
      <c r="M105" s="380" t="n"/>
      <c r="N105" s="380" t="n"/>
    </row>
    <row r="106">
      <c r="B106" s="29" t="n"/>
      <c r="D106" s="30" t="n"/>
      <c r="K106" s="379" t="n"/>
      <c r="L106" s="380" t="n"/>
      <c r="M106" s="380" t="n"/>
      <c r="N106" s="380" t="n"/>
    </row>
    <row r="107">
      <c r="B107" s="29" t="n"/>
      <c r="D107" s="30" t="n"/>
      <c r="K107" s="379" t="n"/>
      <c r="L107" s="380" t="n"/>
      <c r="M107" s="380" t="n"/>
      <c r="N107" s="380" t="n"/>
    </row>
    <row r="108">
      <c r="B108" s="29" t="n"/>
      <c r="D108" s="30" t="n"/>
      <c r="K108" s="379" t="n"/>
      <c r="L108" s="380" t="n"/>
      <c r="M108" s="380" t="n"/>
      <c r="N108" s="380" t="n"/>
    </row>
    <row r="109">
      <c r="B109" s="29" t="n"/>
      <c r="D109" s="30" t="n"/>
      <c r="K109" s="379" t="n"/>
      <c r="L109" s="380" t="n"/>
      <c r="M109" s="380" t="n"/>
      <c r="N109" s="380" t="n"/>
    </row>
    <row r="110">
      <c r="B110" s="29" t="n"/>
      <c r="D110" s="30" t="n"/>
      <c r="K110" s="379" t="n"/>
      <c r="L110" s="380" t="n"/>
      <c r="M110" s="380" t="n"/>
      <c r="N110" s="380" t="n"/>
    </row>
    <row r="111">
      <c r="B111" s="29" t="n"/>
      <c r="D111" s="30" t="n"/>
      <c r="K111" s="379" t="n"/>
      <c r="L111" s="380" t="n"/>
      <c r="M111" s="380" t="n"/>
      <c r="N111" s="380" t="n"/>
    </row>
    <row r="112">
      <c r="B112" s="29" t="n"/>
      <c r="D112" s="30" t="n"/>
      <c r="K112" s="379" t="n"/>
      <c r="L112" s="380" t="n"/>
      <c r="M112" s="380" t="n"/>
      <c r="N112" s="380" t="n"/>
    </row>
    <row r="113">
      <c r="B113" s="29" t="n"/>
      <c r="D113" s="30" t="n"/>
      <c r="K113" s="379" t="n"/>
      <c r="L113" s="380" t="n"/>
      <c r="M113" s="380" t="n"/>
      <c r="N113" s="380" t="n"/>
    </row>
    <row r="114">
      <c r="B114" s="29" t="n"/>
      <c r="D114" s="30" t="n"/>
      <c r="K114" s="379" t="n"/>
      <c r="L114" s="380" t="n"/>
      <c r="M114" s="380" t="n"/>
      <c r="N114" s="380" t="n"/>
    </row>
    <row r="115">
      <c r="B115" s="29" t="n"/>
      <c r="D115" s="30" t="n"/>
      <c r="K115" s="379" t="n"/>
      <c r="L115" s="380" t="n"/>
      <c r="M115" s="380" t="n"/>
      <c r="N115" s="380" t="n"/>
    </row>
    <row r="116">
      <c r="B116" s="29" t="n"/>
      <c r="D116" s="30" t="n"/>
      <c r="K116" s="379" t="n"/>
      <c r="L116" s="380" t="n"/>
      <c r="M116" s="380" t="n"/>
      <c r="N116" s="380" t="n"/>
    </row>
    <row r="117">
      <c r="B117" s="29" t="n"/>
      <c r="D117" s="30" t="n"/>
      <c r="K117" s="379" t="n"/>
      <c r="L117" s="380" t="n"/>
      <c r="M117" s="380" t="n"/>
      <c r="N117" s="380" t="n"/>
    </row>
    <row r="118">
      <c r="B118" s="29" t="n"/>
      <c r="D118" s="30" t="n"/>
      <c r="K118" s="379" t="n"/>
      <c r="L118" s="380" t="n"/>
      <c r="M118" s="380" t="n"/>
      <c r="N118" s="380" t="n"/>
    </row>
    <row r="119">
      <c r="B119" s="29" t="n"/>
      <c r="D119" s="30" t="n"/>
      <c r="K119" s="379" t="n"/>
      <c r="L119" s="380" t="n"/>
      <c r="M119" s="380" t="n"/>
      <c r="N119" s="380" t="n"/>
    </row>
    <row r="120">
      <c r="B120" s="29" t="n"/>
      <c r="D120" s="30" t="n"/>
      <c r="K120" s="379" t="n"/>
      <c r="L120" s="380" t="n"/>
      <c r="M120" s="380" t="n"/>
      <c r="N120" s="380" t="n"/>
    </row>
    <row r="121">
      <c r="B121" s="29" t="n"/>
      <c r="D121" s="30" t="n"/>
      <c r="K121" s="379" t="n"/>
      <c r="L121" s="380" t="n"/>
      <c r="M121" s="380" t="n"/>
      <c r="N121" s="380" t="n"/>
    </row>
    <row r="122">
      <c r="B122" s="29" t="n"/>
      <c r="D122" s="30" t="n"/>
      <c r="K122" s="379" t="n"/>
      <c r="L122" s="380" t="n"/>
      <c r="M122" s="380" t="n"/>
      <c r="N122" s="380" t="n"/>
    </row>
    <row r="123">
      <c r="B123" s="29" t="n"/>
      <c r="D123" s="30" t="n"/>
      <c r="K123" s="379" t="n"/>
      <c r="L123" s="380" t="n"/>
      <c r="M123" s="380" t="n"/>
      <c r="N123" s="380" t="n"/>
    </row>
    <row r="124">
      <c r="B124" s="29" t="n"/>
      <c r="D124" s="30" t="n"/>
      <c r="K124" s="379" t="n"/>
      <c r="L124" s="380" t="n"/>
      <c r="M124" s="380" t="n"/>
      <c r="N124" s="380" t="n"/>
    </row>
    <row r="125">
      <c r="B125" s="29" t="n"/>
      <c r="D125" s="30" t="n"/>
      <c r="K125" s="379" t="n"/>
      <c r="L125" s="380" t="n"/>
      <c r="M125" s="380" t="n"/>
      <c r="N125" s="380" t="n"/>
    </row>
    <row r="126">
      <c r="B126" s="29" t="n"/>
      <c r="D126" s="30" t="n"/>
      <c r="K126" s="379" t="n"/>
      <c r="L126" s="380" t="n"/>
      <c r="M126" s="380" t="n"/>
      <c r="N126" s="380" t="n"/>
    </row>
    <row r="127">
      <c r="B127" s="29" t="n"/>
      <c r="D127" s="30" t="n"/>
      <c r="K127" s="379" t="n"/>
      <c r="L127" s="380" t="n"/>
      <c r="M127" s="380" t="n"/>
      <c r="N127" s="380" t="n"/>
    </row>
    <row r="128">
      <c r="B128" s="29" t="n"/>
      <c r="D128" s="30" t="n"/>
      <c r="K128" s="379" t="n"/>
      <c r="L128" s="380" t="n"/>
      <c r="M128" s="380" t="n"/>
      <c r="N128" s="380" t="n"/>
    </row>
    <row r="129">
      <c r="B129" s="29" t="n"/>
      <c r="D129" s="30" t="n"/>
      <c r="K129" s="379" t="n"/>
      <c r="L129" s="380" t="n"/>
      <c r="M129" s="380" t="n"/>
      <c r="N129" s="380" t="n"/>
    </row>
    <row r="130">
      <c r="B130" s="29" t="n"/>
      <c r="D130" s="30" t="n"/>
      <c r="K130" s="379" t="n"/>
      <c r="L130" s="380" t="n"/>
      <c r="M130" s="380" t="n"/>
      <c r="N130" s="380" t="n"/>
    </row>
    <row r="131">
      <c r="B131" s="29" t="n"/>
      <c r="D131" s="30" t="n"/>
      <c r="K131" s="379" t="n"/>
      <c r="L131" s="380" t="n"/>
      <c r="M131" s="380" t="n"/>
      <c r="N131" s="38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kelly</dc:creator>
  <dcterms:created xmlns:dcterms="http://purl.org/dc/terms/" xmlns:xsi="http://www.w3.org/2001/XMLSchema-instance" xsi:type="dcterms:W3CDTF">2020-09-30T10:36:32Z</dcterms:created>
  <dcterms:modified xmlns:dcterms="http://purl.org/dc/terms/" xmlns:xsi="http://www.w3.org/2001/XMLSchema-instance" xsi:type="dcterms:W3CDTF">2026-04-03T15:44:10Z</dcterms:modified>
  <cp:lastModifiedBy>LaiRicky</cp:lastModifiedBy>
</cp:coreProperties>
</file>