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32" activeTab="16" autoFilterDateGrouping="1"/>
  </bookViews>
  <sheets>
    <sheet xmlns:r="http://schemas.openxmlformats.org/officeDocument/2006/relationships" name="車輛司機備忘" sheetId="1" state="visible" r:id="rId1"/>
    <sheet xmlns:r="http://schemas.openxmlformats.org/officeDocument/2006/relationships" name="1MAR2026" sheetId="2" state="visible" r:id="rId2"/>
    <sheet xmlns:r="http://schemas.openxmlformats.org/officeDocument/2006/relationships" name="2MAR2026" sheetId="3" state="visible" r:id="rId3"/>
    <sheet xmlns:r="http://schemas.openxmlformats.org/officeDocument/2006/relationships" name="3MAR2026" sheetId="4" state="visible" r:id="rId4"/>
    <sheet xmlns:r="http://schemas.openxmlformats.org/officeDocument/2006/relationships" name="4MAR2026" sheetId="5" state="visible" r:id="rId5"/>
    <sheet xmlns:r="http://schemas.openxmlformats.org/officeDocument/2006/relationships" name="5MAR2026" sheetId="6" state="visible" r:id="rId6"/>
    <sheet xmlns:r="http://schemas.openxmlformats.org/officeDocument/2006/relationships" name="6MAR2026" sheetId="7" state="visible" r:id="rId7"/>
    <sheet xmlns:r="http://schemas.openxmlformats.org/officeDocument/2006/relationships" name="7MAR2026" sheetId="8" state="visible" r:id="rId8"/>
    <sheet xmlns:r="http://schemas.openxmlformats.org/officeDocument/2006/relationships" name="8MAR2026" sheetId="9" state="visible" r:id="rId9"/>
    <sheet xmlns:r="http://schemas.openxmlformats.org/officeDocument/2006/relationships" name="9MAR2026" sheetId="10" state="visible" r:id="rId10"/>
    <sheet xmlns:r="http://schemas.openxmlformats.org/officeDocument/2006/relationships" name="10MAR2026" sheetId="11" state="visible" r:id="rId11"/>
    <sheet xmlns:r="http://schemas.openxmlformats.org/officeDocument/2006/relationships" name="11MAR2026" sheetId="12" state="visible" r:id="rId12"/>
    <sheet xmlns:r="http://schemas.openxmlformats.org/officeDocument/2006/relationships" name="12MAR2026" sheetId="13" state="visible" r:id="rId13"/>
    <sheet xmlns:r="http://schemas.openxmlformats.org/officeDocument/2006/relationships" name="13MAR2026" sheetId="14" state="visible" r:id="rId14"/>
    <sheet xmlns:r="http://schemas.openxmlformats.org/officeDocument/2006/relationships" name="14MAR2026" sheetId="15" state="visible" r:id="rId15"/>
    <sheet xmlns:r="http://schemas.openxmlformats.org/officeDocument/2006/relationships" name="15MAR2026" sheetId="16" state="visible" r:id="rId16"/>
    <sheet xmlns:r="http://schemas.openxmlformats.org/officeDocument/2006/relationships" name="16MAR2026" sheetId="17" state="visible" r:id="rId17"/>
    <sheet xmlns:r="http://schemas.openxmlformats.org/officeDocument/2006/relationships" name="17MAR2026" sheetId="18" state="visible" r:id="rId18"/>
    <sheet xmlns:r="http://schemas.openxmlformats.org/officeDocument/2006/relationships" name="18MAR2026" sheetId="19" state="visible" r:id="rId19"/>
    <sheet xmlns:r="http://schemas.openxmlformats.org/officeDocument/2006/relationships" name="19MAR2026" sheetId="20" state="visible" r:id="rId20"/>
    <sheet xmlns:r="http://schemas.openxmlformats.org/officeDocument/2006/relationships" name="20MAR2026" sheetId="21" state="visible" r:id="rId21"/>
    <sheet xmlns:r="http://schemas.openxmlformats.org/officeDocument/2006/relationships" name="21MAR2026" sheetId="22" state="visible" r:id="rId22"/>
    <sheet xmlns:r="http://schemas.openxmlformats.org/officeDocument/2006/relationships" name="22MAR2026" sheetId="23" state="visible" r:id="rId23"/>
    <sheet xmlns:r="http://schemas.openxmlformats.org/officeDocument/2006/relationships" name="23MAR2026" sheetId="24" state="visible" r:id="rId24"/>
    <sheet xmlns:r="http://schemas.openxmlformats.org/officeDocument/2006/relationships" name="24MAR2026" sheetId="25" state="visible" r:id="rId25"/>
    <sheet xmlns:r="http://schemas.openxmlformats.org/officeDocument/2006/relationships" name="26MAR2026" sheetId="26" state="visible" r:id="rId26"/>
    <sheet xmlns:r="http://schemas.openxmlformats.org/officeDocument/2006/relationships" name="27MAR2026" sheetId="27" state="visible" r:id="rId27"/>
    <sheet xmlns:r="http://schemas.openxmlformats.org/officeDocument/2006/relationships" name="28MAR2026" sheetId="28" state="visible" r:id="rId28"/>
    <sheet xmlns:r="http://schemas.openxmlformats.org/officeDocument/2006/relationships" name="29MAR2026" sheetId="29" state="visible" r:id="rId29"/>
    <sheet xmlns:r="http://schemas.openxmlformats.org/officeDocument/2006/relationships" name="25MAR2026" sheetId="30" state="visible" r:id="rId30"/>
    <sheet xmlns:r="http://schemas.openxmlformats.org/officeDocument/2006/relationships" name="30MAR2026" sheetId="31" state="visible" r:id="rId31"/>
    <sheet xmlns:r="http://schemas.openxmlformats.org/officeDocument/2006/relationships" name="31MAR2026" sheetId="32" state="visible" r:id="rId32"/>
    <sheet xmlns:r="http://schemas.openxmlformats.org/officeDocument/2006/relationships" name="工作表1" sheetId="33" state="visible" r:id="rId33"/>
    <sheet xmlns:r="http://schemas.openxmlformats.org/officeDocument/2006/relationships" name="ON HIRE" sheetId="34" state="visible" r:id="rId34"/>
    <sheet xmlns:r="http://schemas.openxmlformats.org/officeDocument/2006/relationships" name="Sheet1" sheetId="35" state="visible" r:id="rId35"/>
  </sheets>
  <definedNames>
    <definedName name="_xlnm._FilterDatabase" localSheetId="1" hidden="1">'1MAR2026'!$B$1:$B$134</definedName>
    <definedName name="_xlnm._FilterDatabase" localSheetId="4" hidden="1">'4MAR2026'!$A$1:$N$39</definedName>
    <definedName name="_xlnm._FilterDatabase" localSheetId="6" hidden="1">'6MAR2026'!$A$1:$N$39</definedName>
    <definedName name="_xlnm._FilterDatabase" localSheetId="8" hidden="1">'8MAR2026'!$A$1:$N$36</definedName>
    <definedName name="_xlnm._FilterDatabase" localSheetId="11" hidden="1">'11MAR2026'!$A$1:$N$37</definedName>
    <definedName name="_xlnm._FilterDatabase" localSheetId="13" hidden="1">'13MAR2026'!$A$1:$N$36</definedName>
  </definedNames>
  <calcPr calcId="191028" fullCalcOnLoad="1"/>
</workbook>
</file>

<file path=xl/styles.xml><?xml version="1.0" encoding="utf-8"?>
<styleSheet xmlns="http://schemas.openxmlformats.org/spreadsheetml/2006/main">
  <numFmts count="6">
    <numFmt numFmtId="164" formatCode="&quot;$&quot;#,##0;[Red]&quot;$&quot;#,##0"/>
    <numFmt numFmtId="165" formatCode="&quot;$&quot;#,##0"/>
    <numFmt numFmtId="166" formatCode="&quot;HK$&quot;#,##0.00_);[Red]\(&quot;HK$&quot;#,##0.00\)"/>
    <numFmt numFmtId="167" formatCode="0.0"/>
    <numFmt numFmtId="168" formatCode="h:mm;@"/>
    <numFmt numFmtId="169" formatCode="&quot;$&quot;#,##0_);[Red]\(&quot;$&quot;#,##0\)"/>
  </numFmts>
  <fonts count="33">
    <font>
      <name val="新細明體"/>
      <family val="2"/>
      <color theme="1"/>
      <sz val="12"/>
      <scheme val="minor"/>
    </font>
    <font>
      <name val="宋体"/>
      <b val="1"/>
      <sz val="12"/>
      <u val="single"/>
    </font>
    <font>
      <name val="宋体"/>
      <b val="1"/>
      <sz val="12"/>
    </font>
    <font>
      <name val="Arial"/>
      <family val="2"/>
      <color indexed="8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2"/>
    </font>
    <font>
      <name val="宋体"/>
      <sz val="11"/>
    </font>
    <font>
      <name val="Arial"/>
      <family val="2"/>
      <color theme="1"/>
      <sz val="11"/>
    </font>
    <font>
      <name val="Arial"/>
      <family val="2"/>
      <sz val="12"/>
    </font>
    <font>
      <name val="宋体"/>
      <b val="1"/>
      <sz val="11"/>
    </font>
    <font>
      <name val="新細明體"/>
      <charset val="136"/>
      <family val="3"/>
      <sz val="9"/>
      <scheme val="minor"/>
    </font>
    <font>
      <name val="Arial"/>
      <family val="2"/>
      <color theme="1"/>
      <sz val="12"/>
    </font>
    <font>
      <name val="Arial"/>
      <family val="2"/>
      <color theme="1"/>
      <sz val="11"/>
    </font>
    <font>
      <name val="Arial"/>
      <family val="2"/>
      <color theme="1"/>
      <sz val="12"/>
    </font>
    <font>
      <name val="新細明體"/>
      <charset val="136"/>
      <family val="1"/>
      <color rgb="FF000000"/>
      <sz val="12"/>
    </font>
    <font>
      <name val="Arial"/>
      <family val="2"/>
      <sz val="10"/>
    </font>
    <font>
      <name val="Arial"/>
      <family val="2"/>
      <color theme="1"/>
      <sz val="10"/>
    </font>
    <font>
      <name val="Arial"/>
      <family val="2"/>
      <color theme="1"/>
      <sz val="9"/>
    </font>
    <font>
      <name val="Arial"/>
      <family val="2"/>
      <color theme="1"/>
      <sz val="8"/>
    </font>
    <font>
      <name val="Arial"/>
      <family val="2"/>
      <sz val="8"/>
    </font>
    <font>
      <name val="新細明體"/>
      <family val="2"/>
      <color theme="1"/>
      <sz val="11"/>
      <scheme val="minor"/>
    </font>
    <font>
      <name val="Arial"/>
      <sz val="11"/>
    </font>
    <font>
      <name val="Arial"/>
      <color theme="1"/>
      <sz val="11"/>
    </font>
    <font>
      <name val="Arial"/>
      <color rgb="FF000000"/>
      <sz val="11"/>
    </font>
    <font>
      <name val="Arial"/>
      <color indexed="8"/>
      <sz val="11"/>
    </font>
    <font>
      <name val="Calibri"/>
      <family val="2"/>
      <b val="1"/>
      <color rgb="FF000000"/>
      <sz val="12"/>
    </font>
    <font>
      <name val="Calibri"/>
      <family val="2"/>
      <color rgb="FF000000"/>
      <sz val="12"/>
    </font>
    <font>
      <name val="Arial"/>
      <charset val="1"/>
      <color rgb="FF000000"/>
      <sz val="11"/>
    </font>
    <font>
      <name val="Microsoft JhengHei"/>
      <charset val="136"/>
      <family val="2"/>
      <color rgb="FF000000"/>
      <sz val="11"/>
    </font>
    <font>
      <name val="新細明體"/>
      <family val="2"/>
      <color theme="1"/>
      <sz val="12"/>
      <scheme val="minor"/>
    </font>
    <font>
      <name val="Arial"/>
      <sz val="12"/>
    </font>
    <font>
      <name val="Arial"/>
      <color theme="1"/>
      <sz val="10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50505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000000"/>
      </right>
      <top style="thin">
        <color rgb="FF000000"/>
      </top>
      <bottom style="thin">
        <color rgb="FF505050"/>
      </bottom>
      <diagonal/>
    </border>
    <border>
      <left style="thin">
        <color rgb="FF000000"/>
      </left>
      <right/>
      <top style="thin">
        <color rgb="FF000000"/>
      </top>
      <bottom style="thin">
        <color rgb="FF50505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30" fillId="0" borderId="0"/>
  </cellStyleXfs>
  <cellXfs count="609">
    <xf numFmtId="0" fontId="0" fillId="0" borderId="0" pivotButton="0" quotePrefix="0" xfId="0"/>
    <xf numFmtId="49" fontId="8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0" fontId="0" fillId="2" borderId="0" pivotButton="0" quotePrefix="0" xfId="0"/>
    <xf numFmtId="166" fontId="5" fillId="3" borderId="1" applyAlignment="1" pivotButton="0" quotePrefix="0" xfId="0">
      <alignment horizontal="center" vertical="center"/>
    </xf>
    <xf numFmtId="20" fontId="8" fillId="2" borderId="1" applyAlignment="1" pivotButton="0" quotePrefix="0" xfId="0">
      <alignment horizontal="center" vertical="center" wrapText="1"/>
    </xf>
    <xf numFmtId="0" fontId="9" fillId="2" borderId="1" pivotButton="0" quotePrefix="0" xfId="0"/>
    <xf numFmtId="0" fontId="5" fillId="2" borderId="1" applyAlignment="1" pivotButton="0" quotePrefix="0" xfId="0">
      <alignment horizontal="center" vertical="center"/>
    </xf>
    <xf numFmtId="167" fontId="5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5" fontId="5" fillId="2" borderId="1" applyAlignment="1" pivotButton="0" quotePrefix="0" xfId="0">
      <alignment horizontal="center" vertical="center"/>
    </xf>
    <xf numFmtId="49" fontId="5" fillId="2" borderId="1" applyAlignment="1" pivotButton="0" quotePrefix="0" xfId="0">
      <alignment horizontal="center" vertical="center"/>
    </xf>
    <xf numFmtId="20" fontId="5" fillId="2" borderId="1" applyAlignment="1" pivotButton="0" quotePrefix="0" xfId="0">
      <alignment horizontal="center" vertical="center"/>
    </xf>
    <xf numFmtId="166" fontId="5" fillId="2" borderId="1" applyAlignment="1" pivotButton="0" quotePrefix="0" xfId="0">
      <alignment horizontal="center" vertical="center" wrapText="1"/>
    </xf>
    <xf numFmtId="49" fontId="5" fillId="2" borderId="1" applyAlignment="1" pivotButton="0" quotePrefix="0" xfId="0">
      <alignment horizontal="center" vertical="center" wrapText="1"/>
    </xf>
    <xf numFmtId="20" fontId="5" fillId="2" borderId="1" applyAlignment="1" pivotButton="0" quotePrefix="0" xfId="0">
      <alignment horizontal="center" vertical="center" wrapText="1"/>
    </xf>
    <xf numFmtId="166" fontId="5" fillId="2" borderId="1" applyAlignment="1" pivotButton="0" quotePrefix="0" xfId="0">
      <alignment horizontal="center" vertical="center"/>
    </xf>
    <xf numFmtId="49" fontId="9" fillId="0" borderId="0" pivotButton="0" quotePrefix="0" xfId="0"/>
    <xf numFmtId="0" fontId="9" fillId="0" borderId="0" pivotButton="0" quotePrefix="0" xfId="0"/>
    <xf numFmtId="0" fontId="9" fillId="0" borderId="0" applyAlignment="1" pivotButton="0" quotePrefix="0" xfId="0">
      <alignment horizontal="right"/>
    </xf>
    <xf numFmtId="167" fontId="9" fillId="0" borderId="0" pivotButton="0" quotePrefix="0" xfId="0"/>
    <xf numFmtId="164" fontId="9" fillId="0" borderId="0" pivotButton="0" quotePrefix="0" xfId="0"/>
    <xf numFmtId="165" fontId="9" fillId="0" borderId="0" pivotButton="0" quotePrefix="0" xfId="0"/>
    <xf numFmtId="164" fontId="10" fillId="0" borderId="4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164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right"/>
    </xf>
    <xf numFmtId="165" fontId="0" fillId="0" borderId="0" pivotButton="0" quotePrefix="0" xfId="0"/>
    <xf numFmtId="168" fontId="9" fillId="0" borderId="0" pivotButton="0" quotePrefix="0" xfId="0"/>
    <xf numFmtId="168" fontId="0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166" fontId="3" fillId="2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20" fontId="3" fillId="3" borderId="1" applyAlignment="1" pivotButton="0" quotePrefix="0" xfId="0">
      <alignment horizontal="center" vertical="center"/>
    </xf>
    <xf numFmtId="167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164" fontId="4" fillId="3" borderId="3" applyAlignment="1" pivotButton="0" quotePrefix="0" xfId="0">
      <alignment horizontal="center" vertical="center"/>
    </xf>
    <xf numFmtId="49" fontId="4" fillId="3" borderId="1" applyAlignment="1" pivotButton="0" quotePrefix="0" xfId="0">
      <alignment horizontal="center" vertical="center"/>
    </xf>
    <xf numFmtId="20" fontId="4" fillId="3" borderId="1" applyAlignment="1" pivotButton="0" quotePrefix="0" xfId="0">
      <alignment horizontal="center" vertical="center"/>
    </xf>
    <xf numFmtId="49" fontId="4" fillId="3" borderId="1" applyAlignment="1" pivotButton="0" quotePrefix="0" xfId="0">
      <alignment horizontal="center" vertical="center" wrapText="1"/>
    </xf>
    <xf numFmtId="20" fontId="4" fillId="3" borderId="1" applyAlignment="1" pivotButton="0" quotePrefix="0" xfId="0">
      <alignment horizontal="center" vertical="center" wrapText="1"/>
    </xf>
    <xf numFmtId="169" fontId="4" fillId="3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49" fontId="4" fillId="2" borderId="1" applyAlignment="1" pivotButton="0" quotePrefix="0" xfId="0">
      <alignment horizontal="center" vertical="center"/>
    </xf>
    <xf numFmtId="2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20" fontId="3" fillId="2" borderId="1" applyAlignment="1" pivotButton="0" quotePrefix="0" xfId="0">
      <alignment horizontal="center" vertical="center"/>
    </xf>
    <xf numFmtId="167" fontId="4" fillId="2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center" vertical="center"/>
    </xf>
    <xf numFmtId="164" fontId="4" fillId="2" borderId="3" applyAlignment="1" pivotButton="0" quotePrefix="0" xfId="0">
      <alignment horizontal="center" vertical="center"/>
    </xf>
    <xf numFmtId="169" fontId="4" fillId="2" borderId="1" applyAlignment="1" pivotButton="0" quotePrefix="0" xfId="0">
      <alignment horizontal="center" vertical="center"/>
    </xf>
    <xf numFmtId="49" fontId="4" fillId="2" borderId="1" applyAlignment="1" pivotButton="0" quotePrefix="0" xfId="0">
      <alignment horizontal="center" vertical="center" wrapText="1"/>
    </xf>
    <xf numFmtId="166" fontId="3" fillId="3" borderId="1" applyAlignment="1" pivotButton="0" quotePrefix="0" xfId="0">
      <alignment horizontal="center" vertical="center" wrapText="1"/>
    </xf>
    <xf numFmtId="20" fontId="3" fillId="0" borderId="1" applyAlignment="1" pivotButton="0" quotePrefix="0" xfId="0">
      <alignment horizontal="center" vertical="center"/>
    </xf>
    <xf numFmtId="20" fontId="4" fillId="2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 wrapText="1"/>
    </xf>
    <xf numFmtId="166" fontId="4" fillId="2" borderId="1" applyAlignment="1" pivotButton="0" quotePrefix="0" xfId="0">
      <alignment horizontal="center" vertical="center"/>
    </xf>
    <xf numFmtId="168" fontId="3" fillId="3" borderId="1" applyAlignment="1" pivotButton="0" quotePrefix="0" xfId="0">
      <alignment horizontal="center" vertical="center"/>
    </xf>
    <xf numFmtId="168" fontId="3" fillId="0" borderId="1" applyAlignment="1" pivotButton="0" quotePrefix="0" xfId="0">
      <alignment horizontal="center" vertical="center"/>
    </xf>
    <xf numFmtId="49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166" fontId="3" fillId="2" borderId="5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20" fontId="4" fillId="2" borderId="6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/>
    </xf>
    <xf numFmtId="166" fontId="5" fillId="2" borderId="6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49" fontId="5" fillId="2" borderId="0" applyAlignment="1" pivotButton="0" quotePrefix="0" xfId="0">
      <alignment horizontal="center" vertical="center"/>
    </xf>
    <xf numFmtId="20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20" fontId="3" fillId="0" borderId="0" applyAlignment="1" pivotButton="0" quotePrefix="0" xfId="0">
      <alignment horizontal="center" vertical="center"/>
    </xf>
    <xf numFmtId="167" fontId="5" fillId="2" borderId="0" applyAlignment="1" pivotButton="0" quotePrefix="0" xfId="0">
      <alignment horizontal="center" vertical="center"/>
    </xf>
    <xf numFmtId="164" fontId="5" fillId="2" borderId="0" applyAlignment="1" pivotButton="0" quotePrefix="0" xfId="0">
      <alignment horizontal="center" vertical="center"/>
    </xf>
    <xf numFmtId="165" fontId="5" fillId="2" borderId="0" applyAlignment="1" pivotButton="0" quotePrefix="0" xfId="0">
      <alignment horizontal="center" vertical="center"/>
    </xf>
    <xf numFmtId="49" fontId="5" fillId="2" borderId="0" applyAlignment="1" pivotButton="0" quotePrefix="0" xfId="0">
      <alignment horizontal="center" vertical="center" wrapText="1"/>
    </xf>
    <xf numFmtId="20" fontId="5" fillId="2" borderId="0" applyAlignment="1" pivotButton="0" quotePrefix="0" xfId="0">
      <alignment horizontal="center" vertical="center" wrapText="1"/>
    </xf>
    <xf numFmtId="166" fontId="5" fillId="2" borderId="0" applyAlignment="1" pivotButton="0" quotePrefix="0" xfId="0">
      <alignment horizontal="center" vertical="center"/>
    </xf>
    <xf numFmtId="166" fontId="3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166" fontId="3" fillId="0" borderId="5" applyAlignment="1" pivotButton="0" quotePrefix="0" xfId="0">
      <alignment horizontal="center" vertical="center"/>
    </xf>
    <xf numFmtId="49" fontId="8" fillId="3" borderId="1" applyAlignment="1" pivotButton="0" quotePrefix="0" xfId="0">
      <alignment horizontal="center" vertical="center" wrapText="1"/>
    </xf>
    <xf numFmtId="20" fontId="8" fillId="3" borderId="1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/>
    </xf>
    <xf numFmtId="167" fontId="5" fillId="3" borderId="1" applyAlignment="1" pivotButton="0" quotePrefix="0" xfId="0">
      <alignment horizontal="center" vertical="center"/>
    </xf>
    <xf numFmtId="166" fontId="5" fillId="3" borderId="5" applyAlignment="1" pivotButton="0" quotePrefix="0" xfId="0">
      <alignment horizontal="center" vertical="center"/>
    </xf>
    <xf numFmtId="166" fontId="3" fillId="3" borderId="1" applyAlignment="1" pivotButton="0" quotePrefix="0" xfId="0">
      <alignment horizontal="center" vertical="center"/>
    </xf>
    <xf numFmtId="167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6" fontId="4" fillId="3" borderId="1" applyAlignment="1" pivotButton="0" quotePrefix="0" xfId="0">
      <alignment horizontal="center" vertical="center"/>
    </xf>
    <xf numFmtId="2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166" fontId="5" fillId="2" borderId="0" applyAlignment="1" pivotButton="0" quotePrefix="0" xfId="0">
      <alignment horizontal="center" vertical="center" wrapText="1"/>
    </xf>
    <xf numFmtId="49" fontId="4" fillId="2" borderId="0" applyAlignment="1" pivotButton="0" quotePrefix="0" xfId="0">
      <alignment horizontal="center" vertical="center"/>
    </xf>
    <xf numFmtId="20" fontId="4" fillId="2" borderId="0" applyAlignment="1" pivotButton="0" quotePrefix="0" xfId="0">
      <alignment horizontal="center" vertical="center"/>
    </xf>
    <xf numFmtId="166" fontId="3" fillId="2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7" fontId="4" fillId="2" borderId="0" applyAlignment="1" pivotButton="0" quotePrefix="0" xfId="0">
      <alignment horizontal="center" vertical="center"/>
    </xf>
    <xf numFmtId="164" fontId="4" fillId="2" borderId="4" applyAlignment="1" pivotButton="0" quotePrefix="0" xfId="0">
      <alignment horizontal="center" vertical="center"/>
    </xf>
    <xf numFmtId="165" fontId="4" fillId="2" borderId="0" applyAlignment="1" pivotButton="0" quotePrefix="0" xfId="0">
      <alignment horizontal="center" vertical="center"/>
    </xf>
    <xf numFmtId="0" fontId="0" fillId="3" borderId="0" pivotButton="0" quotePrefix="0" xfId="0"/>
    <xf numFmtId="20" fontId="3" fillId="3" borderId="6" applyAlignment="1" pivotButton="0" quotePrefix="0" xfId="0">
      <alignment horizontal="center" vertical="center"/>
    </xf>
    <xf numFmtId="167" fontId="4" fillId="3" borderId="6" applyAlignment="1" pivotButton="0" quotePrefix="0" xfId="0">
      <alignment horizontal="center" vertical="center"/>
    </xf>
    <xf numFmtId="164" fontId="4" fillId="3" borderId="6" applyAlignment="1" pivotButton="0" quotePrefix="0" xfId="0">
      <alignment horizontal="center" vertical="center"/>
    </xf>
    <xf numFmtId="49" fontId="17" fillId="2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/>
    </xf>
    <xf numFmtId="20" fontId="4" fillId="3" borderId="6" applyAlignment="1" pivotButton="0" quotePrefix="0" xfId="0">
      <alignment horizontal="center" vertical="center" wrapText="1"/>
    </xf>
    <xf numFmtId="166" fontId="5" fillId="3" borderId="6" applyAlignment="1" pivotButton="0" quotePrefix="0" xfId="0">
      <alignment horizontal="center" vertical="center"/>
    </xf>
    <xf numFmtId="49" fontId="19" fillId="3" borderId="1" applyAlignment="1" pivotButton="0" quotePrefix="0" xfId="0">
      <alignment horizontal="center" vertical="center" wrapText="1"/>
    </xf>
    <xf numFmtId="0" fontId="15" fillId="0" borderId="0" pivotButton="0" quotePrefix="0" xfId="0"/>
    <xf numFmtId="167" fontId="16" fillId="3" borderId="1" applyAlignment="1" pivotButton="0" quotePrefix="0" xfId="0">
      <alignment horizontal="center" vertical="center"/>
    </xf>
    <xf numFmtId="49" fontId="17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20" fontId="5" fillId="3" borderId="1" applyAlignment="1" pivotButton="0" quotePrefix="0" xfId="0">
      <alignment horizontal="center" vertical="center"/>
    </xf>
    <xf numFmtId="169" fontId="5" fillId="3" borderId="1" applyAlignment="1" pivotButton="0" quotePrefix="0" xfId="0">
      <alignment horizontal="center" vertical="center"/>
    </xf>
    <xf numFmtId="167" fontId="3" fillId="3" borderId="5" applyAlignment="1" pivotButton="0" quotePrefix="0" xfId="0">
      <alignment horizontal="center" vertical="center"/>
    </xf>
    <xf numFmtId="20" fontId="4" fillId="3" borderId="6" applyAlignment="1" pivotButton="0" quotePrefix="0" xfId="0">
      <alignment horizontal="center" vertical="center"/>
    </xf>
    <xf numFmtId="164" fontId="3" fillId="3" borderId="3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20" fontId="5" fillId="3" borderId="6" applyAlignment="1" pivotButton="0" quotePrefix="0" xfId="0">
      <alignment horizontal="center" vertical="center"/>
    </xf>
    <xf numFmtId="0" fontId="5" fillId="3" borderId="6" applyAlignment="1" pivotButton="0" quotePrefix="0" xfId="0">
      <alignment horizontal="center" vertical="center"/>
    </xf>
    <xf numFmtId="167" fontId="5" fillId="3" borderId="6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4" fontId="5" fillId="3" borderId="3" applyAlignment="1" pivotButton="0" quotePrefix="0" xfId="0">
      <alignment horizontal="center" vertical="center"/>
    </xf>
    <xf numFmtId="164" fontId="5" fillId="3" borderId="8" applyAlignment="1" pivotButton="0" quotePrefix="0" xfId="0">
      <alignment horizontal="center" vertical="center"/>
    </xf>
    <xf numFmtId="20" fontId="5" fillId="3" borderId="8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8" applyAlignment="1" pivotButton="0" quotePrefix="0" xfId="0">
      <alignment horizontal="center" vertical="center"/>
    </xf>
    <xf numFmtId="20" fontId="5" fillId="3" borderId="8" applyAlignment="1" pivotButton="0" quotePrefix="0" xfId="0">
      <alignment horizontal="center" vertical="center"/>
    </xf>
    <xf numFmtId="167" fontId="5" fillId="3" borderId="8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49" fontId="4" fillId="3" borderId="6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4" fillId="2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/>
    </xf>
    <xf numFmtId="0" fontId="21" fillId="3" borderId="0" pivotButton="0" quotePrefix="0" xfId="0"/>
    <xf numFmtId="0" fontId="21" fillId="2" borderId="0" pivotButton="0" quotePrefix="0" xfId="0"/>
    <xf numFmtId="0" fontId="8" fillId="2" borderId="0" applyAlignment="1" pivotButton="0" quotePrefix="0" xfId="0">
      <alignment horizontal="center" vertical="center"/>
    </xf>
    <xf numFmtId="0" fontId="21" fillId="0" borderId="0" pivotButton="0" quotePrefix="0" xfId="0"/>
    <xf numFmtId="20" fontId="8" fillId="3" borderId="5" applyAlignment="1" pivotButton="0" quotePrefix="0" xfId="0">
      <alignment horizontal="center" vertical="center" wrapText="1"/>
    </xf>
    <xf numFmtId="49" fontId="8" fillId="3" borderId="5" applyAlignment="1" pivotButton="0" quotePrefix="0" xfId="0">
      <alignment horizontal="center" vertical="center" wrapText="1"/>
    </xf>
    <xf numFmtId="165" fontId="22" fillId="3" borderId="1" applyAlignment="1" pivotButton="0" quotePrefix="0" xfId="0">
      <alignment horizontal="center" vertical="center"/>
    </xf>
    <xf numFmtId="164" fontId="22" fillId="3" borderId="1" applyAlignment="1" pivotButton="0" quotePrefix="0" xfId="0">
      <alignment horizontal="center" vertical="center"/>
    </xf>
    <xf numFmtId="0" fontId="22" fillId="3" borderId="6" applyAlignment="1" pivotButton="0" quotePrefix="0" xfId="0">
      <alignment horizontal="center" vertical="center"/>
    </xf>
    <xf numFmtId="49" fontId="23" fillId="3" borderId="1" applyAlignment="1" pivotButton="0" quotePrefix="0" xfId="0">
      <alignment horizontal="center" vertical="center" wrapText="1"/>
    </xf>
    <xf numFmtId="166" fontId="24" fillId="3" borderId="1" applyAlignment="1" pivotButton="0" quotePrefix="0" xfId="0">
      <alignment horizontal="center" vertical="center"/>
    </xf>
    <xf numFmtId="167" fontId="22" fillId="3" borderId="1" applyAlignment="1" pivotButton="0" quotePrefix="0" xfId="0">
      <alignment horizontal="center" vertical="center"/>
    </xf>
    <xf numFmtId="164" fontId="22" fillId="3" borderId="3" applyAlignment="1" pivotButton="0" quotePrefix="0" xfId="0">
      <alignment horizontal="center" vertical="center"/>
    </xf>
    <xf numFmtId="49" fontId="8" fillId="3" borderId="6" applyAlignment="1" pivotButton="0" quotePrefix="0" xfId="0">
      <alignment horizontal="center" vertical="center" wrapText="1"/>
    </xf>
    <xf numFmtId="20" fontId="23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/>
    </xf>
    <xf numFmtId="20" fontId="25" fillId="3" borderId="1" applyAlignment="1" pivotButton="0" quotePrefix="0" xfId="0">
      <alignment horizontal="center" vertical="center"/>
    </xf>
    <xf numFmtId="0" fontId="23" fillId="3" borderId="1" applyAlignment="1" pivotButton="0" quotePrefix="0" xfId="0">
      <alignment horizontal="center" vertical="center"/>
    </xf>
    <xf numFmtId="20" fontId="22" fillId="3" borderId="1" applyAlignment="1" pivotButton="0" quotePrefix="0" xfId="0">
      <alignment horizontal="center" vertical="center" wrapText="1"/>
    </xf>
    <xf numFmtId="169" fontId="22" fillId="3" borderId="1" applyAlignment="1" pivotButton="0" quotePrefix="0" xfId="0">
      <alignment horizontal="center" vertical="center"/>
    </xf>
    <xf numFmtId="0" fontId="24" fillId="3" borderId="5" applyAlignment="1" pivotButton="0" quotePrefix="0" xfId="0">
      <alignment horizontal="center" vertical="center" wrapText="1"/>
    </xf>
    <xf numFmtId="166" fontId="24" fillId="3" borderId="5" applyAlignment="1" pivotButton="0" quotePrefix="0" xfId="0">
      <alignment horizontal="center" vertical="center"/>
    </xf>
    <xf numFmtId="20" fontId="24" fillId="3" borderId="5" applyAlignment="1" pivotButton="0" quotePrefix="0" xfId="0">
      <alignment horizontal="center" vertical="center"/>
    </xf>
    <xf numFmtId="167" fontId="24" fillId="3" borderId="5" applyAlignment="1" pivotButton="0" quotePrefix="0" xfId="0">
      <alignment horizontal="center" vertical="center"/>
    </xf>
    <xf numFmtId="20" fontId="22" fillId="3" borderId="1" applyAlignment="1" pivotButton="0" quotePrefix="0" xfId="0">
      <alignment horizontal="center" vertical="center"/>
    </xf>
    <xf numFmtId="166" fontId="24" fillId="3" borderId="6" applyAlignment="1" pivotButton="0" quotePrefix="0" xfId="0">
      <alignment horizontal="center" vertical="center"/>
    </xf>
    <xf numFmtId="167" fontId="23" fillId="3" borderId="1" applyAlignment="1" pivotButton="0" quotePrefix="0" xfId="0">
      <alignment horizontal="center" vertical="center"/>
    </xf>
    <xf numFmtId="164" fontId="23" fillId="3" borderId="1" applyAlignment="1" pivotButton="0" quotePrefix="0" xfId="0">
      <alignment horizontal="center" vertical="center"/>
    </xf>
    <xf numFmtId="164" fontId="23" fillId="3" borderId="3" applyAlignment="1" pivotButton="0" quotePrefix="0" xfId="0">
      <alignment horizontal="center" vertical="center"/>
    </xf>
    <xf numFmtId="167" fontId="22" fillId="3" borderId="6" applyAlignment="1" pivotButton="0" quotePrefix="0" xfId="0">
      <alignment horizontal="center" vertical="center"/>
    </xf>
    <xf numFmtId="167" fontId="20" fillId="3" borderId="1" applyAlignment="1" pivotButton="0" quotePrefix="0" xfId="0">
      <alignment horizontal="center" vertical="center"/>
    </xf>
    <xf numFmtId="0" fontId="4" fillId="3" borderId="7" applyAlignment="1" pivotButton="0" quotePrefix="0" xfId="0">
      <alignment horizontal="center" vertical="center"/>
    </xf>
    <xf numFmtId="49" fontId="5" fillId="3" borderId="6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4" fontId="5" fillId="3" borderId="5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166" fontId="5" fillId="3" borderId="10" applyAlignment="1" pivotButton="0" quotePrefix="0" xfId="0">
      <alignment horizontal="center" vertical="center"/>
    </xf>
    <xf numFmtId="49" fontId="5" fillId="3" borderId="5" applyAlignment="1" pivotButton="0" quotePrefix="0" xfId="0">
      <alignment horizontal="center" vertical="center" wrapText="1"/>
    </xf>
    <xf numFmtId="20" fontId="5" fillId="3" borderId="5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 wrapText="1"/>
    </xf>
    <xf numFmtId="20" fontId="5" fillId="3" borderId="5" applyAlignment="1" pivotButton="0" quotePrefix="0" xfId="0">
      <alignment horizontal="center" vertical="center"/>
    </xf>
    <xf numFmtId="167" fontId="5" fillId="3" borderId="5" applyAlignment="1" pivotButton="0" quotePrefix="0" xfId="0">
      <alignment horizontal="center" vertical="center"/>
    </xf>
    <xf numFmtId="167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4" fontId="8" fillId="3" borderId="3" applyAlignment="1" pivotButton="0" quotePrefix="0" xfId="0">
      <alignment horizontal="center" vertical="center"/>
    </xf>
    <xf numFmtId="49" fontId="4" fillId="3" borderId="5" applyAlignment="1" pivotButton="0" quotePrefix="0" xfId="0">
      <alignment horizontal="center" vertical="center"/>
    </xf>
    <xf numFmtId="20" fontId="4" fillId="3" borderId="5" applyAlignment="1" pivotButton="0" quotePrefix="0" xfId="0">
      <alignment horizontal="center" vertical="center"/>
    </xf>
    <xf numFmtId="20" fontId="22" fillId="3" borderId="6" applyAlignment="1" pivotButton="0" quotePrefix="0" xfId="0">
      <alignment horizontal="center" vertical="center"/>
    </xf>
    <xf numFmtId="166" fontId="25" fillId="3" borderId="1" applyAlignment="1" pivotButton="0" quotePrefix="0" xfId="0">
      <alignment horizontal="center" vertical="center"/>
    </xf>
    <xf numFmtId="0" fontId="8" fillId="3" borderId="6" applyAlignment="1" pivotButton="0" quotePrefix="0" xfId="0">
      <alignment horizontal="center" vertical="center"/>
    </xf>
    <xf numFmtId="167" fontId="4" fillId="3" borderId="3" applyAlignment="1" pivotButton="0" quotePrefix="0" xfId="0">
      <alignment horizontal="center" vertical="center"/>
    </xf>
    <xf numFmtId="0" fontId="2" fillId="0" borderId="0" pivotButton="0" quotePrefix="0" xfId="0"/>
    <xf numFmtId="0" fontId="2" fillId="4" borderId="1" pivotButton="0" quotePrefix="0" xfId="0"/>
    <xf numFmtId="0" fontId="2" fillId="4" borderId="2" pivotButton="0" quotePrefix="0" xfId="0"/>
    <xf numFmtId="0" fontId="26" fillId="4" borderId="2" pivotButton="0" quotePrefix="0" xfId="0"/>
    <xf numFmtId="0" fontId="27" fillId="0" borderId="0" pivotButton="0" quotePrefix="0" xfId="0"/>
    <xf numFmtId="0" fontId="2" fillId="4" borderId="6" pivotButton="0" quotePrefix="0" xfId="0"/>
    <xf numFmtId="0" fontId="27" fillId="4" borderId="7" pivotButton="0" quotePrefix="0" xfId="0"/>
    <xf numFmtId="0" fontId="27" fillId="4" borderId="13" pivotButton="0" quotePrefix="0" xfId="0"/>
    <xf numFmtId="0" fontId="27" fillId="4" borderId="2" pivotButton="0" quotePrefix="0" xfId="0"/>
    <xf numFmtId="0" fontId="6" fillId="4" borderId="6" pivotButton="0" quotePrefix="0" xfId="0"/>
    <xf numFmtId="0" fontId="26" fillId="4" borderId="6" pivotButton="0" quotePrefix="0" xfId="0"/>
    <xf numFmtId="164" fontId="24" fillId="3" borderId="5" applyAlignment="1" pivotButton="0" quotePrefix="0" xfId="0">
      <alignment horizontal="center" vertical="center"/>
    </xf>
    <xf numFmtId="49" fontId="8" fillId="3" borderId="1" applyAlignment="1" pivotButton="0" quotePrefix="0" xfId="0">
      <alignment horizontal="center" vertical="center"/>
    </xf>
    <xf numFmtId="164" fontId="24" fillId="3" borderId="1" applyAlignment="1" pivotButton="0" quotePrefix="0" xfId="0">
      <alignment horizontal="center" vertical="center"/>
    </xf>
    <xf numFmtId="164" fontId="4" fillId="3" borderId="5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20" fontId="3" fillId="3" borderId="5" applyAlignment="1" pivotButton="0" quotePrefix="0" xfId="0">
      <alignment horizontal="center" vertical="center"/>
    </xf>
    <xf numFmtId="167" fontId="4" fillId="3" borderId="5" applyAlignment="1" pivotButton="0" quotePrefix="0" xfId="0">
      <alignment horizontal="center" vertical="center"/>
    </xf>
    <xf numFmtId="49" fontId="8" fillId="3" borderId="10" applyAlignment="1" pivotButton="0" quotePrefix="0" xfId="0">
      <alignment horizontal="center" vertical="center" wrapText="1"/>
    </xf>
    <xf numFmtId="20" fontId="22" fillId="3" borderId="10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20" fontId="22" fillId="3" borderId="10" applyAlignment="1" pivotButton="0" quotePrefix="0" xfId="0">
      <alignment horizontal="center" vertical="center" wrapText="1"/>
    </xf>
    <xf numFmtId="0" fontId="22" fillId="3" borderId="10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20" fontId="8" fillId="3" borderId="6" applyAlignment="1" pivotButton="0" quotePrefix="0" xfId="0">
      <alignment horizontal="center" vertical="center"/>
    </xf>
    <xf numFmtId="164" fontId="4" fillId="3" borderId="9" applyAlignment="1" pivotButton="0" quotePrefix="0" xfId="0">
      <alignment horizontal="center" vertical="center"/>
    </xf>
    <xf numFmtId="169" fontId="4" fillId="3" borderId="6" applyAlignment="1" pivotButton="0" quotePrefix="0" xfId="0">
      <alignment horizontal="center" vertical="center"/>
    </xf>
    <xf numFmtId="49" fontId="5" fillId="3" borderId="1" applyAlignment="1" pivotButton="0" quotePrefix="0" xfId="0">
      <alignment horizontal="center" vertical="center" wrapText="1"/>
    </xf>
    <xf numFmtId="20" fontId="5" fillId="3" borderId="1" applyAlignment="1" pivotButton="0" quotePrefix="0" xfId="0">
      <alignment horizontal="center" vertical="center" wrapText="1"/>
    </xf>
    <xf numFmtId="0" fontId="5" fillId="3" borderId="6" applyAlignment="1" pivotButton="0" quotePrefix="0" xfId="0">
      <alignment horizontal="center" vertical="center" wrapText="1"/>
    </xf>
    <xf numFmtId="0" fontId="4" fillId="3" borderId="8" applyAlignment="1" pivotButton="0" quotePrefix="0" xfId="0">
      <alignment horizontal="center" vertical="center"/>
    </xf>
    <xf numFmtId="167" fontId="4" fillId="3" borderId="8" applyAlignment="1" pivotButton="0" quotePrefix="0" xfId="0">
      <alignment horizontal="center" vertical="center"/>
    </xf>
    <xf numFmtId="166" fontId="4" fillId="3" borderId="1" applyAlignment="1" pivotButton="0" quotePrefix="0" xfId="0">
      <alignment horizontal="center" vertical="center" wrapText="1"/>
    </xf>
    <xf numFmtId="0" fontId="9" fillId="3" borderId="1" pivotButton="0" quotePrefix="0" xfId="0"/>
    <xf numFmtId="49" fontId="5" fillId="3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 wrapText="1"/>
    </xf>
    <xf numFmtId="49" fontId="9" fillId="3" borderId="0" pivotButton="0" quotePrefix="0" xfId="0"/>
    <xf numFmtId="0" fontId="9" fillId="3" borderId="0" pivotButton="0" quotePrefix="0" xfId="0"/>
    <xf numFmtId="0" fontId="9" fillId="3" borderId="0" applyAlignment="1" pivotButton="0" quotePrefix="0" xfId="0">
      <alignment horizontal="right"/>
    </xf>
    <xf numFmtId="165" fontId="9" fillId="3" borderId="0" pivotButton="0" quotePrefix="0" xfId="0"/>
    <xf numFmtId="164" fontId="9" fillId="3" borderId="0" pivotButton="0" quotePrefix="0" xfId="0"/>
    <xf numFmtId="164" fontId="10" fillId="3" borderId="4" applyAlignment="1" pivotButton="0" quotePrefix="0" xfId="0">
      <alignment horizontal="center" vertical="center"/>
    </xf>
    <xf numFmtId="164" fontId="7" fillId="3" borderId="0" applyAlignment="1" pivotButton="0" quotePrefix="0" xfId="0">
      <alignment horizontal="center" vertical="center"/>
    </xf>
    <xf numFmtId="164" fontId="0" fillId="3" borderId="0" pivotButton="0" quotePrefix="0" xfId="0"/>
    <xf numFmtId="49" fontId="0" fillId="3" borderId="0" pivotButton="0" quotePrefix="0" xfId="0"/>
    <xf numFmtId="0" fontId="0" fillId="3" borderId="0" applyAlignment="1" pivotButton="0" quotePrefix="0" xfId="0">
      <alignment horizontal="right"/>
    </xf>
    <xf numFmtId="165" fontId="0" fillId="3" borderId="0" pivotButton="0" quotePrefix="0" xfId="0"/>
    <xf numFmtId="20" fontId="8" fillId="3" borderId="6" applyAlignment="1" pivotButton="0" quotePrefix="0" xfId="0">
      <alignment horizontal="center" vertical="center" wrapText="1"/>
    </xf>
    <xf numFmtId="20" fontId="3" fillId="3" borderId="8" applyAlignment="1" pivotButton="0" quotePrefix="0" xfId="0">
      <alignment horizontal="center" vertical="center"/>
    </xf>
    <xf numFmtId="164" fontId="4" fillId="3" borderId="8" applyAlignment="1" pivotButton="0" quotePrefix="0" xfId="0">
      <alignment horizontal="center" vertical="center"/>
    </xf>
    <xf numFmtId="164" fontId="4" fillId="3" borderId="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49" fontId="22" fillId="3" borderId="1" applyAlignment="1" pivotButton="0" quotePrefix="0" xfId="0">
      <alignment horizontal="center" vertical="center" wrapText="1"/>
    </xf>
    <xf numFmtId="20" fontId="8" fillId="3" borderId="15" applyAlignment="1" pivotButton="0" quotePrefix="0" xfId="0">
      <alignment horizontal="center" vertical="center" wrapText="1"/>
    </xf>
    <xf numFmtId="166" fontId="24" fillId="3" borderId="7" applyAlignment="1" pivotButton="0" quotePrefix="0" xfId="0">
      <alignment horizontal="center" vertical="center"/>
    </xf>
    <xf numFmtId="166" fontId="5" fillId="3" borderId="2" applyAlignment="1" pivotButton="0" quotePrefix="0" xfId="0">
      <alignment horizontal="center" vertical="center"/>
    </xf>
    <xf numFmtId="166" fontId="5" fillId="3" borderId="14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49" fontId="23" fillId="3" borderId="3" applyAlignment="1" pivotButton="0" quotePrefix="0" xfId="0">
      <alignment horizontal="center" vertical="center" wrapText="1"/>
    </xf>
    <xf numFmtId="0" fontId="24" fillId="3" borderId="7" applyAlignment="1" pivotButton="0" quotePrefix="0" xfId="0">
      <alignment horizontal="center" vertical="center" wrapText="1"/>
    </xf>
    <xf numFmtId="20" fontId="24" fillId="3" borderId="6" applyAlignment="1" pivotButton="0" quotePrefix="0" xfId="0">
      <alignment horizontal="center" vertical="center"/>
    </xf>
    <xf numFmtId="9" fontId="5" fillId="3" borderId="1" applyAlignment="1" pivotButton="0" quotePrefix="0" xfId="0">
      <alignment horizontal="center" vertical="center"/>
    </xf>
    <xf numFmtId="0" fontId="23" fillId="3" borderId="10" applyAlignment="1" pivotButton="0" quotePrefix="0" xfId="0">
      <alignment horizontal="center" vertical="center"/>
    </xf>
    <xf numFmtId="0" fontId="22" fillId="3" borderId="2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20" fontId="8" fillId="3" borderId="5" applyAlignment="1" pivotButton="0" quotePrefix="0" xfId="0">
      <alignment horizontal="center" vertical="center"/>
    </xf>
    <xf numFmtId="20" fontId="8" fillId="3" borderId="10" applyAlignment="1" pivotButton="0" quotePrefix="0" xfId="0">
      <alignment horizontal="center" vertical="center" wrapText="1"/>
    </xf>
    <xf numFmtId="166" fontId="3" fillId="3" borderId="5" applyAlignment="1" pivotButton="0" quotePrefix="0" xfId="0">
      <alignment horizontal="center" vertical="center"/>
    </xf>
    <xf numFmtId="20" fontId="5" fillId="3" borderId="14" applyAlignment="1" pivotButton="0" quotePrefix="0" xfId="0">
      <alignment horizontal="center" vertical="center"/>
    </xf>
    <xf numFmtId="20" fontId="5" fillId="3" borderId="11" applyAlignment="1" pivotButton="0" quotePrefix="0" xfId="0">
      <alignment horizontal="center" vertical="center"/>
    </xf>
    <xf numFmtId="165" fontId="4" fillId="3" borderId="6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166" fontId="5" fillId="3" borderId="3" applyAlignment="1" pivotButton="0" quotePrefix="0" xfId="0">
      <alignment horizontal="center" vertical="center"/>
    </xf>
    <xf numFmtId="0" fontId="5" fillId="3" borderId="11" applyAlignment="1" pivotButton="0" quotePrefix="0" xfId="0">
      <alignment horizontal="center" vertical="center"/>
    </xf>
    <xf numFmtId="20" fontId="4" fillId="3" borderId="16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49" fontId="12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6" fontId="8" fillId="3" borderId="1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/>
    </xf>
    <xf numFmtId="20" fontId="25" fillId="2" borderId="1" applyAlignment="1" pivotButton="0" quotePrefix="0" xfId="0">
      <alignment horizontal="center" vertical="center"/>
    </xf>
    <xf numFmtId="0" fontId="22" fillId="2" borderId="1" applyAlignment="1" pivotButton="0" quotePrefix="0" xfId="0">
      <alignment horizontal="center" vertical="center"/>
    </xf>
    <xf numFmtId="167" fontId="22" fillId="2" borderId="1" applyAlignment="1" pivotButton="0" quotePrefix="0" xfId="0">
      <alignment horizontal="center" vertical="center"/>
    </xf>
    <xf numFmtId="165" fontId="22" fillId="2" borderId="1" applyAlignment="1" pivotButton="0" quotePrefix="0" xfId="0">
      <alignment horizontal="center" vertical="center"/>
    </xf>
    <xf numFmtId="164" fontId="22" fillId="2" borderId="1" applyAlignment="1" pivotButton="0" quotePrefix="0" xfId="0">
      <alignment horizontal="center" vertical="center"/>
    </xf>
    <xf numFmtId="164" fontId="22" fillId="2" borderId="3" applyAlignment="1" pivotButton="0" quotePrefix="0" xfId="0">
      <alignment horizontal="center" vertical="center"/>
    </xf>
    <xf numFmtId="49" fontId="22" fillId="3" borderId="6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  <xf numFmtId="165" fontId="5" fillId="2" borderId="5" applyAlignment="1" pivotButton="0" quotePrefix="0" xfId="0">
      <alignment horizontal="center" vertical="center"/>
    </xf>
    <xf numFmtId="164" fontId="5" fillId="2" borderId="5" applyAlignment="1" pivotButton="0" quotePrefix="0" xfId="0">
      <alignment horizontal="center" vertical="center"/>
    </xf>
    <xf numFmtId="164" fontId="4" fillId="2" borderId="5" applyAlignment="1" pivotButton="0" quotePrefix="0" xfId="0">
      <alignment horizontal="center" vertical="center"/>
    </xf>
    <xf numFmtId="165" fontId="4" fillId="2" borderId="17" applyAlignment="1" pivotButton="0" quotePrefix="0" xfId="0">
      <alignment horizontal="center" vertical="center"/>
    </xf>
    <xf numFmtId="164" fontId="4" fillId="2" borderId="17" applyAlignment="1" pivotButton="0" quotePrefix="0" xfId="0">
      <alignment horizontal="center" vertical="center"/>
    </xf>
    <xf numFmtId="164" fontId="4" fillId="3" borderId="17" applyAlignment="1" pivotButton="0" quotePrefix="0" xfId="0">
      <alignment horizontal="center" vertical="center"/>
    </xf>
    <xf numFmtId="49" fontId="5" fillId="3" borderId="8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center" vertical="center"/>
    </xf>
    <xf numFmtId="20" fontId="0" fillId="0" borderId="0" pivotButton="0" quotePrefix="0" xfId="0"/>
    <xf numFmtId="166" fontId="24" fillId="3" borderId="11" applyAlignment="1" pivotButton="0" quotePrefix="0" xfId="0">
      <alignment horizontal="center" vertical="center"/>
    </xf>
    <xf numFmtId="167" fontId="4" fillId="3" borderId="3" applyAlignment="1" pivotButton="0" quotePrefix="0" xfId="0">
      <alignment horizontal="center" vertical="center" wrapText="1"/>
    </xf>
    <xf numFmtId="166" fontId="5" fillId="3" borderId="8" applyAlignment="1" pivotButton="0" quotePrefix="0" xfId="0">
      <alignment horizontal="center" vertical="center"/>
    </xf>
    <xf numFmtId="167" fontId="5" fillId="3" borderId="12" applyAlignment="1" pivotButton="0" quotePrefix="0" xfId="0">
      <alignment horizontal="center" vertical="center"/>
    </xf>
    <xf numFmtId="0" fontId="0" fillId="3" borderId="0" applyAlignment="1" pivotButton="0" quotePrefix="0" xfId="0">
      <alignment wrapText="1"/>
    </xf>
    <xf numFmtId="49" fontId="24" fillId="3" borderId="1" applyAlignment="1" pivotButton="0" quotePrefix="0" xfId="0">
      <alignment horizontal="center" vertical="center" wrapText="1"/>
    </xf>
    <xf numFmtId="20" fontId="24" fillId="3" borderId="1" applyAlignment="1" pivotButton="0" quotePrefix="0" xfId="0">
      <alignment horizontal="center" vertical="center" wrapText="1"/>
    </xf>
    <xf numFmtId="0" fontId="24" fillId="3" borderId="1" applyAlignment="1" pivotButton="0" quotePrefix="0" xfId="0">
      <alignment horizontal="center" vertical="center" wrapText="1"/>
    </xf>
    <xf numFmtId="20" fontId="25" fillId="3" borderId="6" applyAlignment="1" pivotButton="0" quotePrefix="0" xfId="0">
      <alignment horizontal="center" vertical="center"/>
    </xf>
    <xf numFmtId="20" fontId="23" fillId="3" borderId="1" applyAlignment="1" pivotButton="0" quotePrefix="0" xfId="0">
      <alignment horizontal="center" vertical="center"/>
    </xf>
    <xf numFmtId="0" fontId="28" fillId="3" borderId="1" applyAlignment="1" pivotButton="0" quotePrefix="0" xfId="0">
      <alignment horizontal="center"/>
    </xf>
    <xf numFmtId="49" fontId="24" fillId="3" borderId="6" applyAlignment="1" pivotButton="0" quotePrefix="0" xfId="0">
      <alignment horizontal="center" vertical="center"/>
    </xf>
    <xf numFmtId="165" fontId="24" fillId="3" borderId="1" applyAlignment="1" pivotButton="0" quotePrefix="0" xfId="0">
      <alignment horizontal="center" vertical="center"/>
    </xf>
    <xf numFmtId="49" fontId="22" fillId="3" borderId="1" applyAlignment="1" pivotButton="0" quotePrefix="0" xfId="0">
      <alignment horizontal="center" vertical="center"/>
    </xf>
    <xf numFmtId="0" fontId="28" fillId="3" borderId="0" applyAlignment="1" pivotButton="0" quotePrefix="0" xfId="0">
      <alignment horizontal="center"/>
    </xf>
    <xf numFmtId="49" fontId="22" fillId="2" borderId="1" applyAlignment="1" pivotButton="0" quotePrefix="0" xfId="0">
      <alignment horizontal="center" vertical="center"/>
    </xf>
    <xf numFmtId="20" fontId="22" fillId="2" borderId="1" applyAlignment="1" pivotButton="0" quotePrefix="0" xfId="0">
      <alignment horizontal="center" vertical="center" wrapText="1"/>
    </xf>
    <xf numFmtId="166" fontId="24" fillId="2" borderId="1" applyAlignment="1" pivotButton="0" quotePrefix="0" xfId="0">
      <alignment horizontal="center" vertical="center"/>
    </xf>
    <xf numFmtId="169" fontId="22" fillId="2" borderId="1" applyAlignment="1" pivotButton="0" quotePrefix="0" xfId="0">
      <alignment horizontal="center" vertical="center"/>
    </xf>
    <xf numFmtId="49" fontId="23" fillId="3" borderId="6" applyAlignment="1" pivotButton="0" quotePrefix="0" xfId="0">
      <alignment horizontal="center" vertical="center" wrapText="1"/>
    </xf>
    <xf numFmtId="49" fontId="23" fillId="3" borderId="5" applyAlignment="1" pivotButton="0" quotePrefix="0" xfId="0">
      <alignment horizontal="center" vertical="center" wrapText="1"/>
    </xf>
    <xf numFmtId="20" fontId="23" fillId="3" borderId="5" applyAlignment="1" pivotButton="0" quotePrefix="0" xfId="0">
      <alignment horizontal="center" vertical="center" wrapText="1"/>
    </xf>
    <xf numFmtId="0" fontId="22" fillId="3" borderId="5" applyAlignment="1" pivotButton="0" quotePrefix="0" xfId="0">
      <alignment horizontal="center" vertical="center"/>
    </xf>
    <xf numFmtId="0" fontId="29" fillId="0" borderId="0" applyAlignment="1" pivotButton="0" quotePrefix="0" xfId="0">
      <alignment wrapText="1"/>
    </xf>
    <xf numFmtId="20" fontId="4" fillId="3" borderId="2" applyAlignment="1" pivotButton="0" quotePrefix="0" xfId="0">
      <alignment horizontal="center" vertical="center"/>
    </xf>
    <xf numFmtId="165" fontId="22" fillId="2" borderId="1" applyAlignment="1" pivotButton="0" quotePrefix="1" xfId="0">
      <alignment horizontal="center" vertical="center"/>
    </xf>
    <xf numFmtId="164" fontId="22" fillId="3" borderId="5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 wrapText="1"/>
    </xf>
    <xf numFmtId="166" fontId="25" fillId="2" borderId="1" applyAlignment="1" pivotButton="0" quotePrefix="0" xfId="0">
      <alignment horizontal="center" vertical="center"/>
    </xf>
    <xf numFmtId="166" fontId="25" fillId="0" borderId="1" applyAlignment="1" pivotButton="0" quotePrefix="0" xfId="0">
      <alignment horizontal="center" vertical="center"/>
    </xf>
    <xf numFmtId="167" fontId="25" fillId="0" borderId="1" applyAlignment="1" pivotButton="0" quotePrefix="0" xfId="0">
      <alignment horizontal="center" vertical="center"/>
    </xf>
    <xf numFmtId="165" fontId="25" fillId="0" borderId="1" applyAlignment="1" pivotButton="0" quotePrefix="0" xfId="0">
      <alignment horizontal="center" vertical="center"/>
    </xf>
    <xf numFmtId="164" fontId="25" fillId="0" borderId="1" applyAlignment="1" pivotButton="0" quotePrefix="0" xfId="0">
      <alignment horizontal="center" vertical="center"/>
    </xf>
    <xf numFmtId="164" fontId="25" fillId="0" borderId="3" applyAlignment="1" pivotButton="0" quotePrefix="0" xfId="0">
      <alignment horizontal="center" vertical="center"/>
    </xf>
    <xf numFmtId="166" fontId="25" fillId="3" borderId="1" applyAlignment="1" pivotButton="0" quotePrefix="0" xfId="0">
      <alignment horizontal="center" vertical="center" wrapText="1"/>
    </xf>
    <xf numFmtId="20" fontId="23" fillId="2" borderId="1" applyAlignment="1" pivotButton="0" quotePrefix="0" xfId="0">
      <alignment horizontal="center" vertical="center" wrapText="1"/>
    </xf>
    <xf numFmtId="20" fontId="25" fillId="0" borderId="1" applyAlignment="1" pivotButton="0" quotePrefix="0" xfId="0">
      <alignment horizontal="center" vertical="center"/>
    </xf>
    <xf numFmtId="20" fontId="22" fillId="2" borderId="1" applyAlignment="1" pivotButton="0" quotePrefix="0" xfId="0">
      <alignment horizontal="center" vertical="center"/>
    </xf>
    <xf numFmtId="166" fontId="22" fillId="2" borderId="1" applyAlignment="1" pivotButton="0" quotePrefix="0" xfId="0">
      <alignment horizontal="center" vertical="center" wrapText="1"/>
    </xf>
    <xf numFmtId="166" fontId="22" fillId="2" borderId="1" applyAlignment="1" pivotButton="0" quotePrefix="0" xfId="0">
      <alignment horizontal="center" vertical="center"/>
    </xf>
    <xf numFmtId="0" fontId="31" fillId="2" borderId="1" pivotButton="0" quotePrefix="0" xfId="0"/>
    <xf numFmtId="0" fontId="24" fillId="2" borderId="1" applyAlignment="1" pivotButton="0" quotePrefix="0" xfId="0">
      <alignment horizontal="center" vertical="center"/>
    </xf>
    <xf numFmtId="167" fontId="24" fillId="2" borderId="1" applyAlignment="1" pivotButton="0" quotePrefix="0" xfId="0">
      <alignment horizontal="center" vertical="center"/>
    </xf>
    <xf numFmtId="165" fontId="24" fillId="2" borderId="1" applyAlignment="1" pivotButton="0" quotePrefix="0" xfId="0">
      <alignment horizontal="center" vertical="center"/>
    </xf>
    <xf numFmtId="164" fontId="24" fillId="2" borderId="1" applyAlignment="1" pivotButton="0" quotePrefix="0" xfId="0">
      <alignment horizontal="center" vertical="center"/>
    </xf>
    <xf numFmtId="20" fontId="24" fillId="2" borderId="1" applyAlignment="1" pivotButton="0" quotePrefix="0" xfId="0">
      <alignment horizontal="center" vertical="center"/>
    </xf>
    <xf numFmtId="166" fontId="24" fillId="2" borderId="1" applyAlignment="1" pivotButton="0" quotePrefix="0" xfId="0">
      <alignment horizontal="center" vertical="center" wrapText="1"/>
    </xf>
    <xf numFmtId="20" fontId="24" fillId="2" borderId="1" applyAlignment="1" pivotButton="0" quotePrefix="0" xfId="0">
      <alignment horizontal="center" vertical="center" wrapText="1"/>
    </xf>
    <xf numFmtId="49" fontId="24" fillId="2" borderId="0" applyAlignment="1" pivotButton="0" quotePrefix="0" xfId="0">
      <alignment horizontal="center" vertical="center" wrapText="1"/>
    </xf>
    <xf numFmtId="20" fontId="24" fillId="2" borderId="0" applyAlignment="1" pivotButton="0" quotePrefix="0" xfId="0">
      <alignment horizontal="center" vertical="center" wrapText="1"/>
    </xf>
    <xf numFmtId="0" fontId="24" fillId="2" borderId="0" applyAlignment="1" pivotButton="0" quotePrefix="0" xfId="0">
      <alignment horizontal="center" vertical="center"/>
    </xf>
    <xf numFmtId="166" fontId="24" fillId="2" borderId="0" applyAlignment="1" pivotButton="0" quotePrefix="0" xfId="0">
      <alignment horizontal="center" vertical="center"/>
    </xf>
    <xf numFmtId="20" fontId="25" fillId="0" borderId="0" applyAlignment="1" pivotButton="0" quotePrefix="0" xfId="0">
      <alignment horizontal="center" vertical="center"/>
    </xf>
    <xf numFmtId="167" fontId="24" fillId="2" borderId="0" applyAlignment="1" pivotButton="0" quotePrefix="0" xfId="0">
      <alignment horizontal="center" vertical="center"/>
    </xf>
    <xf numFmtId="165" fontId="24" fillId="2" borderId="0" applyAlignment="1" pivotButton="0" quotePrefix="0" xfId="0">
      <alignment horizontal="center" vertical="center"/>
    </xf>
    <xf numFmtId="164" fontId="24" fillId="2" borderId="0" applyAlignment="1" pivotButton="0" quotePrefix="0" xfId="0">
      <alignment horizontal="center" vertical="center"/>
    </xf>
    <xf numFmtId="164" fontId="22" fillId="2" borderId="0" applyAlignment="1" pivotButton="0" quotePrefix="0" xfId="0">
      <alignment horizontal="center" vertical="center"/>
    </xf>
    <xf numFmtId="49" fontId="31" fillId="0" borderId="0" pivotButton="0" quotePrefix="0" xfId="0"/>
    <xf numFmtId="0" fontId="31" fillId="0" borderId="0" pivotButton="0" quotePrefix="0" xfId="0"/>
    <xf numFmtId="0" fontId="31" fillId="0" borderId="0" applyAlignment="1" pivotButton="0" quotePrefix="0" xfId="0">
      <alignment horizontal="right"/>
    </xf>
    <xf numFmtId="165" fontId="31" fillId="0" borderId="0" pivotButton="0" quotePrefix="0" xfId="0"/>
    <xf numFmtId="164" fontId="31" fillId="0" borderId="0" pivotButton="0" quotePrefix="0" xfId="0"/>
    <xf numFmtId="49" fontId="24" fillId="3" borderId="5" applyAlignment="1" pivotButton="0" quotePrefix="0" xfId="0">
      <alignment horizontal="center" vertical="center" wrapText="1"/>
    </xf>
    <xf numFmtId="20" fontId="24" fillId="3" borderId="5" applyAlignment="1" pivotButton="0" quotePrefix="0" xfId="0">
      <alignment horizontal="center" vertical="center" wrapText="1"/>
    </xf>
    <xf numFmtId="49" fontId="32" fillId="3" borderId="1" applyAlignment="1" pivotButton="0" quotePrefix="0" xfId="0">
      <alignment horizontal="center" vertical="center" wrapText="1"/>
    </xf>
    <xf numFmtId="49" fontId="23" fillId="2" borderId="1" applyAlignment="1" pivotButton="0" quotePrefix="0" xfId="0">
      <alignment horizontal="center" vertical="center" wrapText="1"/>
    </xf>
    <xf numFmtId="0" fontId="23" fillId="3" borderId="3" applyAlignment="1" pivotButton="0" quotePrefix="0" xfId="0">
      <alignment horizontal="center" vertical="center"/>
    </xf>
    <xf numFmtId="0" fontId="24" fillId="3" borderId="1" applyAlignment="1" pivotButton="0" quotePrefix="0" xfId="0">
      <alignment horizontal="center" vertical="center"/>
    </xf>
    <xf numFmtId="167" fontId="25" fillId="3" borderId="1" applyAlignment="1" pivotButton="0" quotePrefix="0" xfId="0">
      <alignment horizontal="center" vertical="center"/>
    </xf>
    <xf numFmtId="49" fontId="24" fillId="2" borderId="1" applyAlignment="1" pivotButton="0" quotePrefix="0" xfId="0">
      <alignment horizontal="center" vertical="center"/>
    </xf>
    <xf numFmtId="49" fontId="24" fillId="2" borderId="1" applyAlignment="1" pivotButton="0" quotePrefix="0" xfId="0">
      <alignment horizontal="center" vertical="center" wrapText="1"/>
    </xf>
    <xf numFmtId="16" fontId="0" fillId="0" borderId="0" pivotButton="0" quotePrefix="0" xfId="0"/>
    <xf numFmtId="167" fontId="25" fillId="3" borderId="5" applyAlignment="1" pivotButton="0" quotePrefix="0" xfId="0">
      <alignment horizontal="center" vertical="center"/>
    </xf>
    <xf numFmtId="0" fontId="23" fillId="3" borderId="1" applyAlignment="1" pivotButton="0" quotePrefix="0" xfId="0">
      <alignment horizontal="center" vertical="center" wrapText="1"/>
    </xf>
    <xf numFmtId="165" fontId="25" fillId="3" borderId="1" applyAlignment="1" pivotButton="0" quotePrefix="0" xfId="0">
      <alignment horizontal="center" vertical="center"/>
    </xf>
    <xf numFmtId="164" fontId="25" fillId="3" borderId="1" applyAlignment="1" pivotButton="0" quotePrefix="0" xfId="0">
      <alignment horizontal="center" vertical="center"/>
    </xf>
    <xf numFmtId="164" fontId="25" fillId="3" borderId="3" applyAlignment="1" pivotButton="0" quotePrefix="0" xfId="0">
      <alignment horizontal="center" vertical="center"/>
    </xf>
    <xf numFmtId="20" fontId="25" fillId="3" borderId="5" applyAlignment="1" pivotButton="0" quotePrefix="0" xfId="0">
      <alignment horizontal="center" vertical="center"/>
    </xf>
    <xf numFmtId="167" fontId="22" fillId="3" borderId="5" applyAlignment="1" pivotButton="0" quotePrefix="0" xfId="0">
      <alignment horizontal="center" vertical="center"/>
    </xf>
    <xf numFmtId="167" fontId="22" fillId="3" borderId="8" applyAlignment="1" pivotButton="0" quotePrefix="0" xfId="0">
      <alignment horizontal="center" vertical="center"/>
    </xf>
    <xf numFmtId="20" fontId="22" fillId="3" borderId="6" applyAlignment="1" pivotButton="0" quotePrefix="0" xfId="0">
      <alignment horizontal="center" vertical="center" wrapText="1"/>
    </xf>
    <xf numFmtId="0" fontId="22" fillId="3" borderId="16" applyAlignment="1" pivotButton="0" quotePrefix="0" xfId="0">
      <alignment horizontal="center" vertical="center"/>
    </xf>
    <xf numFmtId="169" fontId="22" fillId="3" borderId="7" applyAlignment="1" pivotButton="0" quotePrefix="0" xfId="0">
      <alignment horizontal="center" vertical="center"/>
    </xf>
    <xf numFmtId="164" fontId="24" fillId="3" borderId="3" applyAlignment="1" pivotButton="0" quotePrefix="0" xfId="0">
      <alignment horizontal="center" vertical="center"/>
    </xf>
    <xf numFmtId="166" fontId="22" fillId="3" borderId="1" applyAlignment="1" pivotButton="0" quotePrefix="0" xfId="0">
      <alignment horizontal="center" vertical="center"/>
    </xf>
    <xf numFmtId="167" fontId="24" fillId="3" borderId="1" applyAlignment="1" pivotButton="0" quotePrefix="0" xfId="0">
      <alignment horizontal="center" vertical="center"/>
    </xf>
    <xf numFmtId="49" fontId="24" fillId="3" borderId="1" applyAlignment="1" pivotButton="0" quotePrefix="0" xfId="0">
      <alignment horizontal="center" vertical="center"/>
    </xf>
    <xf numFmtId="20" fontId="24" fillId="3" borderId="1" applyAlignment="1" pivotButton="0" quotePrefix="0" xfId="0">
      <alignment horizontal="center" vertical="center"/>
    </xf>
    <xf numFmtId="166" fontId="24" fillId="3" borderId="1" applyAlignment="1" pivotButton="0" quotePrefix="0" xfId="0">
      <alignment horizontal="center" vertical="center" wrapText="1"/>
    </xf>
    <xf numFmtId="49" fontId="31" fillId="3" borderId="0" pivotButton="0" quotePrefix="0" xfId="0"/>
    <xf numFmtId="0" fontId="31" fillId="3" borderId="0" pivotButton="0" quotePrefix="0" xfId="0"/>
    <xf numFmtId="0" fontId="31" fillId="3" borderId="0" applyAlignment="1" pivotButton="0" quotePrefix="0" xfId="0">
      <alignment horizontal="right"/>
    </xf>
    <xf numFmtId="167" fontId="31" fillId="3" borderId="0" pivotButton="0" quotePrefix="0" xfId="0"/>
    <xf numFmtId="165" fontId="31" fillId="3" borderId="0" pivotButton="0" quotePrefix="0" xfId="0"/>
    <xf numFmtId="164" fontId="31" fillId="3" borderId="0" pivotButton="0" quotePrefix="0" xfId="0"/>
    <xf numFmtId="166" fontId="25" fillId="3" borderId="5" applyAlignment="1" pivotButton="0" quotePrefix="0" xfId="0">
      <alignment horizontal="center" vertical="center"/>
    </xf>
    <xf numFmtId="166" fontId="24" fillId="3" borderId="3" applyAlignment="1" pivotButton="0" quotePrefix="0" xfId="0">
      <alignment horizontal="center" vertical="center"/>
    </xf>
    <xf numFmtId="20" fontId="25" fillId="3" borderId="8" applyAlignment="1" pivotButton="0" quotePrefix="0" xfId="0">
      <alignment horizontal="center" vertical="center"/>
    </xf>
    <xf numFmtId="0" fontId="22" fillId="3" borderId="8" applyAlignment="1" pivotButton="0" quotePrefix="0" xfId="0">
      <alignment horizontal="center" vertical="center"/>
    </xf>
    <xf numFmtId="167" fontId="22" fillId="3" borderId="3" applyAlignment="1" pivotButton="0" quotePrefix="0" xfId="0">
      <alignment horizontal="center" vertical="center" wrapText="1"/>
    </xf>
    <xf numFmtId="167" fontId="24" fillId="3" borderId="8" applyAlignment="1" pivotButton="0" quotePrefix="0" xfId="0">
      <alignment horizontal="center" vertical="center"/>
    </xf>
    <xf numFmtId="0" fontId="22" fillId="3" borderId="7" applyAlignment="1" pivotButton="0" quotePrefix="0" xfId="0">
      <alignment horizontal="center" vertical="center"/>
    </xf>
    <xf numFmtId="0" fontId="23" fillId="3" borderId="0" applyAlignment="1" pivotButton="0" quotePrefix="0" xfId="0">
      <alignment horizontal="center" vertical="center"/>
    </xf>
    <xf numFmtId="164" fontId="22" fillId="3" borderId="8" applyAlignment="1" pivotButton="0" quotePrefix="0" xfId="0">
      <alignment horizontal="center" vertical="center"/>
    </xf>
    <xf numFmtId="0" fontId="23" fillId="3" borderId="0" applyAlignment="1" pivotButton="0" quotePrefix="0" xfId="0">
      <alignment horizontal="left" vertical="center"/>
    </xf>
    <xf numFmtId="20" fontId="23" fillId="3" borderId="6" applyAlignment="1" pivotButton="0" quotePrefix="0" xfId="0">
      <alignment horizontal="center" vertical="center" wrapText="1"/>
    </xf>
    <xf numFmtId="0" fontId="24" fillId="3" borderId="2" applyAlignment="1" pivotButton="0" quotePrefix="0" xfId="0">
      <alignment horizontal="center" vertical="center"/>
    </xf>
    <xf numFmtId="20" fontId="24" fillId="3" borderId="11" applyAlignment="1" pivotButton="0" quotePrefix="0" xfId="0">
      <alignment horizontal="center" vertical="center"/>
    </xf>
    <xf numFmtId="20" fontId="24" fillId="3" borderId="8" applyAlignment="1" pivotButton="0" quotePrefix="0" xfId="0">
      <alignment horizontal="center" vertical="center"/>
    </xf>
    <xf numFmtId="0" fontId="24" fillId="3" borderId="8" applyAlignment="1" pivotButton="0" quotePrefix="0" xfId="0">
      <alignment horizontal="center" vertical="center"/>
    </xf>
    <xf numFmtId="164" fontId="24" fillId="3" borderId="8" applyAlignment="1" pivotButton="0" quotePrefix="0" xfId="0">
      <alignment horizontal="center" vertical="center"/>
    </xf>
    <xf numFmtId="40" fontId="29" fillId="0" borderId="0" applyAlignment="1" pivotButton="0" quotePrefix="0" xfId="0">
      <alignment wrapText="1"/>
    </xf>
    <xf numFmtId="0" fontId="4" fillId="2" borderId="5" applyAlignment="1" pivotButton="0" quotePrefix="0" xfId="0">
      <alignment horizontal="center" vertical="center"/>
    </xf>
    <xf numFmtId="20" fontId="3" fillId="3" borderId="6" applyAlignment="1" pivotButton="0" quotePrefix="1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64" fontId="4" fillId="2" borderId="18" applyAlignment="1" pivotButton="0" quotePrefix="0" xfId="0">
      <alignment horizontal="center" vertical="center"/>
    </xf>
    <xf numFmtId="164" fontId="22" fillId="2" borderId="18" applyAlignment="1" pivotButton="0" quotePrefix="0" xfId="0">
      <alignment horizontal="center" vertical="center"/>
    </xf>
    <xf numFmtId="165" fontId="22" fillId="3" borderId="6" applyAlignment="1" pivotButton="0" quotePrefix="0" xfId="0">
      <alignment horizontal="center" vertical="center"/>
    </xf>
    <xf numFmtId="164" fontId="22" fillId="3" borderId="6" applyAlignment="1" pivotButton="0" quotePrefix="0" xfId="0">
      <alignment horizontal="center" vertical="center"/>
    </xf>
    <xf numFmtId="166" fontId="24" fillId="3" borderId="1" applyAlignment="1" pivotButton="0" quotePrefix="1" xfId="0">
      <alignment horizontal="center" vertical="center"/>
    </xf>
    <xf numFmtId="165" fontId="0" fillId="0" borderId="0" pivotButton="0" quotePrefix="0" xfId="0"/>
    <xf numFmtId="164" fontId="0" fillId="0" borderId="0" pivotButton="0" quotePrefix="0" xfId="0"/>
    <xf numFmtId="166" fontId="3" fillId="2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166" fontId="5" fillId="3" borderId="6" applyAlignment="1" pivotButton="0" quotePrefix="0" xfId="0">
      <alignment horizontal="center" vertical="center"/>
    </xf>
    <xf numFmtId="167" fontId="4" fillId="3" borderId="6" applyAlignment="1" pivotButton="0" quotePrefix="0" xfId="0">
      <alignment horizontal="center" vertical="center"/>
    </xf>
    <xf numFmtId="167" fontId="4" fillId="3" borderId="3" applyAlignment="1" pivotButton="0" quotePrefix="0" xfId="0">
      <alignment horizontal="center" vertical="center"/>
    </xf>
    <xf numFmtId="164" fontId="4" fillId="3" borderId="5" applyAlignment="1" pivotButton="0" quotePrefix="0" xfId="0">
      <alignment horizontal="center" vertical="center"/>
    </xf>
    <xf numFmtId="164" fontId="4" fillId="3" borderId="3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7" fontId="4" fillId="3" borderId="1" applyAlignment="1" pivotButton="0" quotePrefix="0" xfId="0">
      <alignment horizontal="center" vertical="center"/>
    </xf>
    <xf numFmtId="164" fontId="4" fillId="3" borderId="9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167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4" fontId="8" fillId="3" borderId="3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7" fontId="22" fillId="3" borderId="1" applyAlignment="1" pivotButton="0" quotePrefix="0" xfId="0">
      <alignment horizontal="center" vertical="center"/>
    </xf>
    <xf numFmtId="164" fontId="24" fillId="3" borderId="1" applyAlignment="1" pivotButton="0" quotePrefix="0" xfId="0">
      <alignment horizontal="center" vertical="center"/>
    </xf>
    <xf numFmtId="164" fontId="22" fillId="3" borderId="1" applyAlignment="1" pivotButton="0" quotePrefix="0" xfId="0">
      <alignment horizontal="center" vertical="center"/>
    </xf>
    <xf numFmtId="169" fontId="4" fillId="3" borderId="1" applyAlignment="1" pivotButton="0" quotePrefix="0" xfId="0">
      <alignment horizontal="center" vertical="center"/>
    </xf>
    <xf numFmtId="167" fontId="3" fillId="3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66" fontId="5" fillId="2" borderId="1" applyAlignment="1" pivotButton="0" quotePrefix="0" xfId="0">
      <alignment horizontal="center" vertical="center"/>
    </xf>
    <xf numFmtId="167" fontId="4" fillId="2" borderId="1" applyAlignment="1" pivotButton="0" quotePrefix="0" xfId="0">
      <alignment horizontal="center" vertical="center"/>
    </xf>
    <xf numFmtId="166" fontId="3" fillId="3" borderId="1" applyAlignment="1" pivotButton="0" quotePrefix="0" xfId="0">
      <alignment horizontal="center" vertical="center" wrapText="1"/>
    </xf>
    <xf numFmtId="165" fontId="4" fillId="2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 wrapText="1"/>
    </xf>
    <xf numFmtId="169" fontId="4" fillId="2" borderId="1" applyAlignment="1" pivotButton="0" quotePrefix="0" xfId="0">
      <alignment horizontal="center" vertical="center"/>
    </xf>
    <xf numFmtId="165" fontId="5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6" fontId="5" fillId="2" borderId="1" applyAlignment="1" pivotButton="0" quotePrefix="0" xfId="0">
      <alignment horizontal="center" vertical="center" wrapText="1"/>
    </xf>
    <xf numFmtId="167" fontId="5" fillId="2" borderId="1" applyAlignment="1" pivotButton="0" quotePrefix="0" xfId="0">
      <alignment horizontal="center" vertical="center"/>
    </xf>
    <xf numFmtId="165" fontId="5" fillId="2" borderId="5" applyAlignment="1" pivotButton="0" quotePrefix="0" xfId="0">
      <alignment horizontal="center" vertical="center"/>
    </xf>
    <xf numFmtId="164" fontId="5" fillId="2" borderId="5" applyAlignment="1" pivotButton="0" quotePrefix="0" xfId="0">
      <alignment horizontal="center" vertical="center"/>
    </xf>
    <xf numFmtId="164" fontId="4" fillId="2" borderId="5" applyAlignment="1" pivotButton="0" quotePrefix="0" xfId="0">
      <alignment horizontal="center" vertical="center"/>
    </xf>
    <xf numFmtId="167" fontId="9" fillId="0" borderId="0" pivotButton="0" quotePrefix="0" xfId="0"/>
    <xf numFmtId="165" fontId="4" fillId="2" borderId="17" applyAlignment="1" pivotButton="0" quotePrefix="0" xfId="0">
      <alignment horizontal="center" vertical="center"/>
    </xf>
    <xf numFmtId="164" fontId="4" fillId="2" borderId="17" applyAlignment="1" pivotButton="0" quotePrefix="0" xfId="0">
      <alignment horizontal="center" vertical="center"/>
    </xf>
    <xf numFmtId="164" fontId="4" fillId="3" borderId="17" applyAlignment="1" pivotButton="0" quotePrefix="0" xfId="0">
      <alignment horizontal="center" vertical="center"/>
    </xf>
    <xf numFmtId="165" fontId="9" fillId="0" borderId="0" pivotButton="0" quotePrefix="0" xfId="0"/>
    <xf numFmtId="164" fontId="9" fillId="0" borderId="0" pivotButton="0" quotePrefix="0" xfId="0"/>
    <xf numFmtId="164" fontId="4" fillId="3" borderId="0" applyAlignment="1" pivotButton="0" quotePrefix="0" xfId="0">
      <alignment horizontal="center" vertical="center"/>
    </xf>
    <xf numFmtId="164" fontId="10" fillId="0" borderId="4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164" fontId="24" fillId="3" borderId="5" applyAlignment="1" pivotButton="0" quotePrefix="0" xfId="0">
      <alignment horizontal="center" vertical="center"/>
    </xf>
    <xf numFmtId="164" fontId="5" fillId="3" borderId="5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22" fillId="3" borderId="3" applyAlignment="1" pivotButton="0" quotePrefix="0" xfId="0">
      <alignment horizontal="center" vertical="center"/>
    </xf>
    <xf numFmtId="164" fontId="4" fillId="2" borderId="3" applyAlignment="1" pivotButton="0" quotePrefix="0" xfId="0">
      <alignment horizontal="center" vertical="center"/>
    </xf>
    <xf numFmtId="166" fontId="5" fillId="2" borderId="0" applyAlignment="1" pivotButton="0" quotePrefix="0" xfId="0">
      <alignment horizontal="center" vertical="center"/>
    </xf>
    <xf numFmtId="167" fontId="5" fillId="2" borderId="0" applyAlignment="1" pivotButton="0" quotePrefix="0" xfId="0">
      <alignment horizontal="center" vertical="center"/>
    </xf>
    <xf numFmtId="165" fontId="5" fillId="2" borderId="0" applyAlignment="1" pivotButton="0" quotePrefix="0" xfId="0">
      <alignment horizontal="center" vertical="center"/>
    </xf>
    <xf numFmtId="164" fontId="5" fillId="2" borderId="0" applyAlignment="1" pivotButton="0" quotePrefix="0" xfId="0">
      <alignment horizontal="center" vertical="center"/>
    </xf>
    <xf numFmtId="164" fontId="4" fillId="2" borderId="4" applyAlignment="1" pivotButton="0" quotePrefix="0" xfId="0">
      <alignment horizontal="center" vertical="center"/>
    </xf>
    <xf numFmtId="164" fontId="4" fillId="3" borderId="4" applyAlignment="1" pivotButton="0" quotePrefix="0" xfId="0">
      <alignment horizontal="center" vertical="center"/>
    </xf>
    <xf numFmtId="165" fontId="22" fillId="3" borderId="1" applyAlignment="1" pivotButton="0" quotePrefix="0" xfId="0">
      <alignment horizontal="center" vertical="center"/>
    </xf>
    <xf numFmtId="164" fontId="22" fillId="3" borderId="5" applyAlignment="1" pivotButton="0" quotePrefix="0" xfId="0">
      <alignment horizontal="center" vertical="center"/>
    </xf>
    <xf numFmtId="166" fontId="24" fillId="3" borderId="1" applyAlignment="1" pivotButton="0" quotePrefix="0" xfId="0">
      <alignment horizontal="center" vertical="center"/>
    </xf>
    <xf numFmtId="164" fontId="23" fillId="3" borderId="1" applyAlignment="1" pivotButton="0" quotePrefix="0" xfId="0">
      <alignment horizontal="center" vertical="center"/>
    </xf>
    <xf numFmtId="164" fontId="23" fillId="3" borderId="3" applyAlignment="1" pivotButton="0" quotePrefix="0" xfId="0">
      <alignment horizontal="center" vertical="center"/>
    </xf>
    <xf numFmtId="164" fontId="22" fillId="2" borderId="1" applyAlignment="1" pivotButton="0" quotePrefix="0" xfId="0">
      <alignment horizontal="center" vertical="center"/>
    </xf>
    <xf numFmtId="166" fontId="3" fillId="3" borderId="1" applyAlignment="1" pivotButton="0" quotePrefix="0" xfId="0">
      <alignment horizontal="center" vertical="center"/>
    </xf>
    <xf numFmtId="166" fontId="25" fillId="3" borderId="1" applyAlignment="1" pivotButton="0" quotePrefix="0" xfId="0">
      <alignment horizontal="center" vertical="center"/>
    </xf>
    <xf numFmtId="166" fontId="5" fillId="2" borderId="0" applyAlignment="1" pivotButton="0" quotePrefix="0" xfId="0">
      <alignment horizontal="center" vertical="center" wrapText="1"/>
    </xf>
    <xf numFmtId="164" fontId="4" fillId="2" borderId="0" applyAlignment="1" pivotButton="0" quotePrefix="0" xfId="0">
      <alignment horizontal="center" vertical="center"/>
    </xf>
    <xf numFmtId="169" fontId="22" fillId="3" borderId="1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5" fillId="3" borderId="14" applyAlignment="1" pivotButton="0" quotePrefix="0" xfId="0">
      <alignment horizontal="center" vertical="center"/>
    </xf>
    <xf numFmtId="166" fontId="5" fillId="3" borderId="2" applyAlignment="1" pivotButton="0" quotePrefix="0" xfId="0">
      <alignment horizontal="center" vertical="center"/>
    </xf>
    <xf numFmtId="166" fontId="5" fillId="2" borderId="6" applyAlignment="1" pivotButton="0" quotePrefix="0" xfId="0">
      <alignment horizontal="center" vertical="center"/>
    </xf>
    <xf numFmtId="166" fontId="3" fillId="2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/>
    </xf>
    <xf numFmtId="166" fontId="24" fillId="2" borderId="1" applyAlignment="1" pivotButton="0" quotePrefix="0" xfId="0">
      <alignment horizontal="center" vertical="center"/>
    </xf>
    <xf numFmtId="169" fontId="22" fillId="2" borderId="1" applyAlignment="1" pivotButton="0" quotePrefix="0" xfId="0">
      <alignment horizontal="center" vertical="center"/>
    </xf>
    <xf numFmtId="167" fontId="22" fillId="2" borderId="1" applyAlignment="1" pivotButton="0" quotePrefix="0" xfId="0">
      <alignment horizontal="center" vertical="center"/>
    </xf>
    <xf numFmtId="165" fontId="22" fillId="2" borderId="1" applyAlignment="1" pivotButton="0" quotePrefix="0" xfId="0">
      <alignment horizontal="center" vertical="center"/>
    </xf>
    <xf numFmtId="164" fontId="22" fillId="2" borderId="3" applyAlignment="1" pivotButton="0" quotePrefix="0" xfId="0">
      <alignment horizontal="center" vertical="center"/>
    </xf>
    <xf numFmtId="167" fontId="23" fillId="3" borderId="1" applyAlignment="1" pivotButton="0" quotePrefix="0" xfId="0">
      <alignment horizontal="center" vertical="center"/>
    </xf>
    <xf numFmtId="166" fontId="24" fillId="3" borderId="7" applyAlignment="1" pivotButton="0" quotePrefix="0" xfId="0">
      <alignment horizontal="center" vertical="center"/>
    </xf>
    <xf numFmtId="167" fontId="22" fillId="3" borderId="6" applyAlignment="1" pivotButton="0" quotePrefix="0" xfId="0">
      <alignment horizontal="center" vertical="center"/>
    </xf>
    <xf numFmtId="166" fontId="8" fillId="3" borderId="1" applyAlignment="1" pivotButton="0" quotePrefix="0" xfId="0">
      <alignment horizontal="center" vertical="center"/>
    </xf>
    <xf numFmtId="166" fontId="5" fillId="3" borderId="5" applyAlignment="1" pivotButton="0" quotePrefix="0" xfId="0">
      <alignment horizontal="center" vertical="center"/>
    </xf>
    <xf numFmtId="165" fontId="22" fillId="2" borderId="1" applyAlignment="1" pivotButton="0" quotePrefix="1" xfId="0">
      <alignment horizontal="center" vertical="center"/>
    </xf>
    <xf numFmtId="167" fontId="5" fillId="3" borderId="1" applyAlignment="1" pivotButton="0" quotePrefix="0" xfId="0">
      <alignment horizontal="center" vertical="center"/>
    </xf>
    <xf numFmtId="166" fontId="5" fillId="3" borderId="10" applyAlignment="1" pivotButton="0" quotePrefix="0" xfId="0">
      <alignment horizontal="center" vertical="center"/>
    </xf>
    <xf numFmtId="167" fontId="4" fillId="3" borderId="5" applyAlignment="1" pivotButton="0" quotePrefix="0" xfId="0">
      <alignment horizontal="center" vertical="center"/>
    </xf>
    <xf numFmtId="166" fontId="24" fillId="3" borderId="5" applyAlignment="1" pivotButton="0" quotePrefix="0" xfId="0">
      <alignment horizontal="center" vertical="center"/>
    </xf>
    <xf numFmtId="167" fontId="24" fillId="3" borderId="5" applyAlignment="1" pivotButton="0" quotePrefix="0" xfId="0">
      <alignment horizontal="center" vertical="center"/>
    </xf>
    <xf numFmtId="166" fontId="24" fillId="3" borderId="6" applyAlignment="1" pivotButton="0" quotePrefix="0" xfId="0">
      <alignment horizontal="center" vertical="center"/>
    </xf>
    <xf numFmtId="167" fontId="5" fillId="3" borderId="5" applyAlignment="1" pivotButton="0" quotePrefix="0" xfId="0">
      <alignment horizontal="center" vertical="center"/>
    </xf>
    <xf numFmtId="167" fontId="5" fillId="3" borderId="8" applyAlignment="1" pivotButton="0" quotePrefix="0" xfId="0">
      <alignment horizontal="center" vertical="center"/>
    </xf>
    <xf numFmtId="164" fontId="5" fillId="3" borderId="8" applyAlignment="1" pivotButton="0" quotePrefix="0" xfId="0">
      <alignment horizontal="center" vertical="center"/>
    </xf>
    <xf numFmtId="164" fontId="5" fillId="3" borderId="3" applyAlignment="1" pivotButton="0" quotePrefix="0" xfId="0">
      <alignment horizontal="center" vertical="center"/>
    </xf>
    <xf numFmtId="166" fontId="25" fillId="2" borderId="1" applyAlignment="1" pivotButton="0" quotePrefix="0" xfId="0">
      <alignment horizontal="center" vertical="center"/>
    </xf>
    <xf numFmtId="166" fontId="24" fillId="3" borderId="1" applyAlignment="1" pivotButton="0" quotePrefix="1" xfId="0">
      <alignment horizontal="center" vertical="center"/>
    </xf>
    <xf numFmtId="168" fontId="0" fillId="0" borderId="0" pivotButton="0" quotePrefix="0" xfId="0"/>
    <xf numFmtId="167" fontId="4" fillId="3" borderId="8" applyAlignment="1" pivotButton="0" quotePrefix="0" xfId="0">
      <alignment horizontal="center" vertical="center"/>
    </xf>
    <xf numFmtId="167" fontId="4" fillId="3" borderId="3" applyAlignment="1" pivotButton="0" quotePrefix="0" xfId="0">
      <alignment horizontal="center" vertical="center" wrapText="1"/>
    </xf>
    <xf numFmtId="166" fontId="3" fillId="3" borderId="5" applyAlignment="1" pivotButton="0" quotePrefix="0" xfId="0">
      <alignment horizontal="center" vertical="center"/>
    </xf>
    <xf numFmtId="168" fontId="3" fillId="3" borderId="1" applyAlignment="1" pivotButton="0" quotePrefix="0" xfId="0">
      <alignment horizontal="center" vertical="center"/>
    </xf>
    <xf numFmtId="168" fontId="3" fillId="0" borderId="1" applyAlignment="1" pivotButton="0" quotePrefix="0" xfId="0">
      <alignment horizontal="center" vertical="center"/>
    </xf>
    <xf numFmtId="166" fontId="3" fillId="2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7" fontId="4" fillId="2" borderId="0" applyAlignment="1" pivotButton="0" quotePrefix="0" xfId="0">
      <alignment horizontal="center" vertical="center"/>
    </xf>
    <xf numFmtId="165" fontId="4" fillId="2" borderId="0" applyAlignment="1" pivotButton="0" quotePrefix="0" xfId="0">
      <alignment horizontal="center" vertical="center"/>
    </xf>
    <xf numFmtId="168" fontId="9" fillId="0" borderId="0" pivotButton="0" quotePrefix="0" xfId="0"/>
    <xf numFmtId="166" fontId="3" fillId="2" borderId="5" applyAlignment="1" pivotButton="0" quotePrefix="0" xfId="0">
      <alignment horizontal="center" vertical="center"/>
    </xf>
    <xf numFmtId="166" fontId="3" fillId="0" borderId="5" applyAlignment="1" pivotButton="0" quotePrefix="0" xfId="0">
      <alignment horizontal="center" vertical="center"/>
    </xf>
    <xf numFmtId="166" fontId="5" fillId="3" borderId="3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166" fontId="24" fillId="3" borderId="11" applyAlignment="1" pivotButton="0" quotePrefix="0" xfId="0">
      <alignment horizontal="center" vertical="center"/>
    </xf>
    <xf numFmtId="164" fontId="4" fillId="3" borderId="8" applyAlignment="1" pivotButton="0" quotePrefix="0" xfId="0">
      <alignment horizontal="center" vertical="center"/>
    </xf>
    <xf numFmtId="167" fontId="22" fillId="3" borderId="5" applyAlignment="1" pivotButton="0" quotePrefix="0" xfId="0">
      <alignment horizontal="center" vertical="center"/>
    </xf>
    <xf numFmtId="164" fontId="22" fillId="3" borderId="8" applyAlignment="1" pivotButton="0" quotePrefix="0" xfId="0">
      <alignment horizontal="center" vertical="center"/>
    </xf>
    <xf numFmtId="166" fontId="5" fillId="3" borderId="8" applyAlignment="1" pivotButton="0" quotePrefix="0" xfId="0">
      <alignment horizontal="center" vertical="center"/>
    </xf>
    <xf numFmtId="167" fontId="5" fillId="3" borderId="12" applyAlignment="1" pivotButton="0" quotePrefix="0" xfId="0">
      <alignment horizontal="center" vertical="center"/>
    </xf>
    <xf numFmtId="164" fontId="31" fillId="0" borderId="0" pivotButton="0" quotePrefix="0" xfId="0"/>
    <xf numFmtId="169" fontId="5" fillId="3" borderId="1" applyAlignment="1" pivotButton="0" quotePrefix="0" xfId="0">
      <alignment horizontal="center" vertical="center"/>
    </xf>
    <xf numFmtId="167" fontId="16" fillId="3" borderId="1" applyAlignment="1" pivotButton="0" quotePrefix="0" xfId="0">
      <alignment horizontal="center" vertical="center"/>
    </xf>
    <xf numFmtId="164" fontId="4" fillId="2" borderId="18" applyAlignment="1" pivotButton="0" quotePrefix="0" xfId="0">
      <alignment horizontal="center" vertical="center"/>
    </xf>
    <xf numFmtId="164" fontId="22" fillId="2" borderId="18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69" fontId="4" fillId="3" borderId="6" applyAlignment="1" pivotButton="0" quotePrefix="0" xfId="0">
      <alignment horizontal="center" vertical="center"/>
    </xf>
    <xf numFmtId="166" fontId="25" fillId="3" borderId="1" applyAlignment="1" pivotButton="0" quotePrefix="0" xfId="0">
      <alignment horizontal="center" vertical="center" wrapText="1"/>
    </xf>
    <xf numFmtId="167" fontId="3" fillId="3" borderId="5" applyAlignment="1" pivotButton="0" quotePrefix="0" xfId="0">
      <alignment horizontal="center" vertical="center"/>
    </xf>
    <xf numFmtId="167" fontId="5" fillId="3" borderId="6" applyAlignment="1" pivotButton="0" quotePrefix="0" xfId="0">
      <alignment horizontal="center" vertical="center"/>
    </xf>
    <xf numFmtId="165" fontId="24" fillId="3" borderId="1" applyAlignment="1" pivotButton="0" quotePrefix="0" xfId="0">
      <alignment horizontal="center" vertical="center"/>
    </xf>
    <xf numFmtId="165" fontId="0" fillId="3" borderId="0" pivotButton="0" quotePrefix="0" xfId="0"/>
    <xf numFmtId="164" fontId="0" fillId="3" borderId="0" pivotButton="0" quotePrefix="0" xfId="0"/>
    <xf numFmtId="164" fontId="3" fillId="3" borderId="3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7" fontId="20" fillId="3" borderId="1" applyAlignment="1" pivotButton="0" quotePrefix="0" xfId="0">
      <alignment horizontal="center" vertical="center"/>
    </xf>
    <xf numFmtId="166" fontId="4" fillId="3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 wrapText="1"/>
    </xf>
    <xf numFmtId="165" fontId="9" fillId="3" borderId="0" pivotButton="0" quotePrefix="0" xfId="0"/>
    <xf numFmtId="164" fontId="9" fillId="3" borderId="0" pivotButton="0" quotePrefix="0" xfId="0"/>
    <xf numFmtId="164" fontId="10" fillId="3" borderId="4" applyAlignment="1" pivotButton="0" quotePrefix="0" xfId="0">
      <alignment horizontal="center" vertical="center"/>
    </xf>
    <xf numFmtId="164" fontId="7" fillId="3" borderId="0" applyAlignment="1" pivotButton="0" quotePrefix="0" xfId="0">
      <alignment horizontal="center" vertical="center"/>
    </xf>
    <xf numFmtId="167" fontId="25" fillId="3" borderId="1" applyAlignment="1" pivotButton="0" quotePrefix="0" xfId="0">
      <alignment horizontal="center" vertical="center"/>
    </xf>
    <xf numFmtId="165" fontId="4" fillId="3" borderId="6" applyAlignment="1" pivotButton="0" quotePrefix="0" xfId="0">
      <alignment horizontal="center" vertical="center"/>
    </xf>
    <xf numFmtId="164" fontId="4" fillId="3" borderId="6" applyAlignment="1" pivotButton="0" quotePrefix="0" xfId="0">
      <alignment horizontal="center" vertical="center"/>
    </xf>
    <xf numFmtId="165" fontId="22" fillId="3" borderId="6" applyAlignment="1" pivotButton="0" quotePrefix="0" xfId="0">
      <alignment horizontal="center" vertical="center"/>
    </xf>
    <xf numFmtId="164" fontId="22" fillId="3" borderId="6" applyAlignment="1" pivotButton="0" quotePrefix="0" xfId="0">
      <alignment horizontal="center" vertical="center"/>
    </xf>
    <xf numFmtId="165" fontId="25" fillId="3" borderId="1" applyAlignment="1" pivotButton="0" quotePrefix="0" xfId="0">
      <alignment horizontal="center" vertical="center"/>
    </xf>
    <xf numFmtId="164" fontId="25" fillId="3" borderId="1" applyAlignment="1" pivotButton="0" quotePrefix="0" xfId="0">
      <alignment horizontal="center" vertical="center"/>
    </xf>
    <xf numFmtId="164" fontId="25" fillId="3" borderId="3" applyAlignment="1" pivotButton="0" quotePrefix="0" xfId="0">
      <alignment horizontal="center" vertical="center"/>
    </xf>
    <xf numFmtId="164" fontId="25" fillId="0" borderId="1" applyAlignment="1" pivotButton="0" quotePrefix="0" xfId="0">
      <alignment horizontal="center" vertical="center"/>
    </xf>
    <xf numFmtId="169" fontId="22" fillId="3" borderId="7" applyAlignment="1" pivotButton="0" quotePrefix="0" xfId="0">
      <alignment horizontal="center" vertical="center"/>
    </xf>
    <xf numFmtId="167" fontId="24" fillId="3" borderId="1" applyAlignment="1" pivotButton="0" quotePrefix="0" xfId="0">
      <alignment horizontal="center" vertical="center"/>
    </xf>
    <xf numFmtId="166" fontId="25" fillId="3" borderId="5" applyAlignment="1" pivotButton="0" quotePrefix="0" xfId="0">
      <alignment horizontal="center" vertical="center"/>
    </xf>
    <xf numFmtId="166" fontId="24" fillId="3" borderId="3" applyAlignment="1" pivotButton="0" quotePrefix="0" xfId="0">
      <alignment horizontal="center" vertical="center"/>
    </xf>
    <xf numFmtId="167" fontId="22" fillId="3" borderId="8" applyAlignment="1" pivotButton="0" quotePrefix="0" xfId="0">
      <alignment horizontal="center" vertical="center"/>
    </xf>
    <xf numFmtId="167" fontId="22" fillId="3" borderId="3" applyAlignment="1" pivotButton="0" quotePrefix="0" xfId="0">
      <alignment horizontal="center" vertical="center" wrapText="1"/>
    </xf>
    <xf numFmtId="164" fontId="24" fillId="3" borderId="3" applyAlignment="1" pivotButton="0" quotePrefix="0" xfId="0">
      <alignment horizontal="center" vertical="center"/>
    </xf>
    <xf numFmtId="167" fontId="24" fillId="3" borderId="8" applyAlignment="1" pivotButton="0" quotePrefix="0" xfId="0">
      <alignment horizontal="center" vertical="center"/>
    </xf>
    <xf numFmtId="164" fontId="24" fillId="3" borderId="8" applyAlignment="1" pivotButton="0" quotePrefix="0" xfId="0">
      <alignment horizontal="center" vertical="center"/>
    </xf>
    <xf numFmtId="167" fontId="25" fillId="3" borderId="5" applyAlignment="1" pivotButton="0" quotePrefix="0" xfId="0">
      <alignment horizontal="center" vertical="center"/>
    </xf>
    <xf numFmtId="166" fontId="24" fillId="3" borderId="1" applyAlignment="1" pivotButton="0" quotePrefix="0" xfId="0">
      <alignment horizontal="center" vertical="center" wrapText="1"/>
    </xf>
    <xf numFmtId="166" fontId="22" fillId="3" borderId="1" applyAlignment="1" pivotButton="0" quotePrefix="0" xfId="0">
      <alignment horizontal="center" vertical="center"/>
    </xf>
    <xf numFmtId="167" fontId="31" fillId="3" borderId="0" pivotButton="0" quotePrefix="0" xfId="0"/>
    <xf numFmtId="165" fontId="31" fillId="3" borderId="0" pivotButton="0" quotePrefix="0" xfId="0"/>
    <xf numFmtId="164" fontId="31" fillId="3" borderId="0" pivotButton="0" quotePrefix="0" xfId="0"/>
    <xf numFmtId="166" fontId="25" fillId="0" borderId="1" applyAlignment="1" pivotButton="0" quotePrefix="0" xfId="0">
      <alignment horizontal="center" vertical="center"/>
    </xf>
    <xf numFmtId="167" fontId="25" fillId="0" borderId="1" applyAlignment="1" pivotButton="0" quotePrefix="0" xfId="0">
      <alignment horizontal="center" vertical="center"/>
    </xf>
    <xf numFmtId="165" fontId="25" fillId="0" borderId="1" applyAlignment="1" pivotButton="0" quotePrefix="0" xfId="0">
      <alignment horizontal="center" vertical="center"/>
    </xf>
    <xf numFmtId="164" fontId="25" fillId="0" borderId="3" applyAlignment="1" pivotButton="0" quotePrefix="0" xfId="0">
      <alignment horizontal="center" vertical="center"/>
    </xf>
    <xf numFmtId="166" fontId="22" fillId="2" borderId="1" applyAlignment="1" pivotButton="0" quotePrefix="0" xfId="0">
      <alignment horizontal="center" vertical="center" wrapText="1"/>
    </xf>
    <xf numFmtId="166" fontId="22" fillId="2" borderId="1" applyAlignment="1" pivotButton="0" quotePrefix="0" xfId="0">
      <alignment horizontal="center" vertical="center"/>
    </xf>
    <xf numFmtId="167" fontId="24" fillId="2" borderId="1" applyAlignment="1" pivotButton="0" quotePrefix="0" xfId="0">
      <alignment horizontal="center" vertical="center"/>
    </xf>
    <xf numFmtId="165" fontId="24" fillId="2" borderId="1" applyAlignment="1" pivotButton="0" quotePrefix="0" xfId="0">
      <alignment horizontal="center" vertical="center"/>
    </xf>
    <xf numFmtId="164" fontId="24" fillId="2" borderId="1" applyAlignment="1" pivotButton="0" quotePrefix="0" xfId="0">
      <alignment horizontal="center" vertical="center"/>
    </xf>
    <xf numFmtId="166" fontId="24" fillId="2" borderId="1" applyAlignment="1" pivotButton="0" quotePrefix="0" xfId="0">
      <alignment horizontal="center" vertical="center" wrapText="1"/>
    </xf>
    <xf numFmtId="166" fontId="24" fillId="2" borderId="0" applyAlignment="1" pivotButton="0" quotePrefix="0" xfId="0">
      <alignment horizontal="center" vertical="center"/>
    </xf>
    <xf numFmtId="167" fontId="24" fillId="2" borderId="0" applyAlignment="1" pivotButton="0" quotePrefix="0" xfId="0">
      <alignment horizontal="center" vertical="center"/>
    </xf>
    <xf numFmtId="165" fontId="24" fillId="2" borderId="0" applyAlignment="1" pivotButton="0" quotePrefix="0" xfId="0">
      <alignment horizontal="center" vertical="center"/>
    </xf>
    <xf numFmtId="164" fontId="24" fillId="2" borderId="0" applyAlignment="1" pivotButton="0" quotePrefix="0" xfId="0">
      <alignment horizontal="center" vertical="center"/>
    </xf>
    <xf numFmtId="164" fontId="22" fillId="2" borderId="0" applyAlignment="1" pivotButton="0" quotePrefix="0" xfId="0">
      <alignment horizontal="center" vertical="center"/>
    </xf>
    <xf numFmtId="165" fontId="31" fillId="0" borderId="0" pivotButton="0" quotePrefix="0" xfId="0"/>
  </cellXfs>
  <cellStyles count="1">
    <cellStyle name="一般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zoomScale="110" zoomScaleNormal="110" workbookViewId="0">
      <selection activeCell="F21" sqref="F21"/>
    </sheetView>
  </sheetViews>
  <sheetFormatPr baseColWidth="8" defaultColWidth="8.75" defaultRowHeight="15"/>
  <cols>
    <col width="11" bestFit="1" customWidth="1" min="1" max="1"/>
    <col width="12.875" customWidth="1" min="2" max="2"/>
    <col width="8.875" bestFit="1" customWidth="1" min="3" max="3"/>
    <col width="10.125" customWidth="1" min="5" max="5"/>
    <col width="8.75" customWidth="1" min="8" max="8"/>
    <col width="12.25" customWidth="1" min="12" max="12"/>
  </cols>
  <sheetData>
    <row r="1" ht="15" customHeight="1">
      <c r="A1" s="123" t="n"/>
      <c r="B1" s="123" t="n"/>
      <c r="C1" s="123" t="n"/>
      <c r="D1" s="123" t="n"/>
      <c r="E1" s="123" t="n"/>
      <c r="F1" s="123" t="n"/>
      <c r="G1" s="123" t="n"/>
      <c r="H1" s="123" t="n"/>
      <c r="I1" s="123" t="n"/>
      <c r="J1" s="123" t="n"/>
      <c r="K1" s="123" t="n"/>
    </row>
    <row r="2" ht="15.75" customHeight="1">
      <c r="A2" s="202" t="inlineStr">
        <is>
          <t>司機價表</t>
        </is>
      </c>
      <c r="B2" s="203" t="inlineStr">
        <is>
          <t xml:space="preserve"> </t>
        </is>
      </c>
      <c r="C2" s="204" t="inlineStr">
        <is>
          <t>九龍</t>
        </is>
      </c>
      <c r="D2" s="204" t="inlineStr">
        <is>
          <t>港島</t>
        </is>
      </c>
      <c r="E2" s="204" t="inlineStr">
        <is>
          <t>機場/東涌</t>
        </is>
      </c>
      <c r="F2" s="204" t="inlineStr">
        <is>
          <t>大埔/上水</t>
        </is>
      </c>
      <c r="G2" s="204" t="inlineStr">
        <is>
          <t>西貢</t>
        </is>
      </c>
      <c r="H2" s="204" t="inlineStr">
        <is>
          <t>元朗市/落馬洲</t>
        </is>
      </c>
      <c r="I2" s="204" t="inlineStr">
        <is>
          <t>將軍澳</t>
        </is>
      </c>
      <c r="J2" s="204" t="inlineStr">
        <is>
          <t>沙田</t>
        </is>
      </c>
      <c r="K2" s="205" t="inlineStr">
        <is>
          <t>郵碼</t>
        </is>
      </c>
    </row>
    <row r="3" ht="15.75" customHeight="1">
      <c r="A3" s="206" t="n"/>
      <c r="B3" s="207" t="inlineStr">
        <is>
          <t>九龍</t>
        </is>
      </c>
      <c r="C3" s="208" t="n">
        <v>250</v>
      </c>
      <c r="D3" s="208" t="n">
        <v>310</v>
      </c>
      <c r="E3" s="208" t="n">
        <v>400</v>
      </c>
      <c r="F3" s="208" t="n">
        <v>360</v>
      </c>
      <c r="G3" s="208" t="n">
        <v>360</v>
      </c>
      <c r="H3" s="208" t="n">
        <v>410</v>
      </c>
      <c r="I3" s="208" t="n">
        <v>310</v>
      </c>
      <c r="J3" s="208" t="n">
        <v>310</v>
      </c>
      <c r="K3" s="208" t="n">
        <v>250</v>
      </c>
    </row>
    <row r="4" ht="15.75" customHeight="1">
      <c r="A4" s="206" t="n"/>
      <c r="B4" s="207" t="inlineStr">
        <is>
          <t>港島</t>
        </is>
      </c>
      <c r="C4" s="208" t="n">
        <v>300</v>
      </c>
      <c r="D4" s="208" t="n">
        <v>250</v>
      </c>
      <c r="E4" s="208" t="n">
        <v>460</v>
      </c>
      <c r="F4" s="208" t="n">
        <v>450</v>
      </c>
      <c r="G4" s="208" t="n">
        <v>450</v>
      </c>
      <c r="H4" s="208" t="n">
        <v>460</v>
      </c>
      <c r="I4" s="208" t="n">
        <v>360</v>
      </c>
      <c r="J4" s="208" t="n">
        <v>410</v>
      </c>
      <c r="K4" s="208" t="n">
        <v>300</v>
      </c>
    </row>
    <row r="5" ht="15.75" customHeight="1">
      <c r="A5" s="206" t="n"/>
      <c r="B5" s="207" t="inlineStr">
        <is>
          <t>機場/東涌</t>
        </is>
      </c>
      <c r="C5" s="208" t="n">
        <v>400</v>
      </c>
      <c r="D5" s="208" t="n">
        <v>460</v>
      </c>
      <c r="E5" s="208" t="n">
        <v>250</v>
      </c>
      <c r="F5" s="208" t="n">
        <v>450</v>
      </c>
      <c r="G5" s="208" t="n">
        <v>500</v>
      </c>
      <c r="H5" s="208" t="inlineStr">
        <is>
          <t>400/430</t>
        </is>
      </c>
      <c r="I5" s="208" t="n">
        <v>480</v>
      </c>
      <c r="J5" s="208" t="n">
        <v>400</v>
      </c>
      <c r="K5" s="208" t="n">
        <v>400</v>
      </c>
    </row>
    <row r="6" ht="15.75" customHeight="1">
      <c r="A6" s="206" t="n"/>
      <c r="B6" s="207" t="inlineStr">
        <is>
          <t>大埔/上水</t>
        </is>
      </c>
      <c r="C6" s="208" t="n">
        <v>360</v>
      </c>
      <c r="D6" s="208" t="n">
        <v>450</v>
      </c>
      <c r="E6" s="208" t="n">
        <v>450</v>
      </c>
      <c r="F6" s="208" t="n">
        <v>250</v>
      </c>
      <c r="G6" s="208" t="n">
        <v>390</v>
      </c>
      <c r="H6" s="208" t="n">
        <v>310</v>
      </c>
      <c r="I6" s="208" t="n">
        <v>360</v>
      </c>
      <c r="J6" s="208" t="n">
        <v>290</v>
      </c>
      <c r="K6" s="208" t="n">
        <v>450</v>
      </c>
    </row>
    <row r="7" ht="15.75" customHeight="1">
      <c r="A7" s="206" t="n"/>
      <c r="B7" s="207" t="inlineStr">
        <is>
          <t>西貢</t>
        </is>
      </c>
      <c r="C7" s="208" t="n">
        <v>360</v>
      </c>
      <c r="D7" s="208" t="n">
        <v>450</v>
      </c>
      <c r="E7" s="208" t="n">
        <v>500</v>
      </c>
      <c r="F7" s="208" t="n">
        <v>390</v>
      </c>
      <c r="G7" s="208" t="n">
        <v>250</v>
      </c>
      <c r="H7" s="208" t="n">
        <v>460</v>
      </c>
      <c r="I7" s="208" t="n">
        <v>290</v>
      </c>
      <c r="J7" s="208" t="n">
        <v>360</v>
      </c>
      <c r="K7" s="208" t="n">
        <v>400</v>
      </c>
    </row>
    <row r="8" ht="15.75" customHeight="1">
      <c r="A8" s="206" t="n"/>
      <c r="B8" s="207" t="inlineStr">
        <is>
          <t>元朗市/落馬洲</t>
        </is>
      </c>
      <c r="C8" s="208" t="n">
        <v>410</v>
      </c>
      <c r="D8" s="208" t="n">
        <v>460</v>
      </c>
      <c r="E8" s="208" t="inlineStr">
        <is>
          <t>400/430</t>
        </is>
      </c>
      <c r="F8" s="208" t="n">
        <v>310</v>
      </c>
      <c r="G8" s="208" t="n">
        <v>460</v>
      </c>
      <c r="H8" s="208" t="n">
        <v>250</v>
      </c>
      <c r="I8" s="208" t="n">
        <v>440</v>
      </c>
      <c r="J8" s="208" t="n">
        <v>410</v>
      </c>
      <c r="K8" s="209" t="n">
        <v>450</v>
      </c>
    </row>
    <row r="9" ht="15.75" customHeight="1">
      <c r="A9" s="206" t="n"/>
      <c r="B9" s="207" t="inlineStr">
        <is>
          <t>將軍澳</t>
        </is>
      </c>
      <c r="C9" s="208" t="n">
        <v>310</v>
      </c>
      <c r="D9" s="208" t="n">
        <v>360</v>
      </c>
      <c r="E9" s="208" t="n">
        <v>480</v>
      </c>
      <c r="F9" s="208" t="n">
        <v>360</v>
      </c>
      <c r="G9" s="208" t="n">
        <v>290</v>
      </c>
      <c r="H9" s="208" t="n">
        <v>440</v>
      </c>
      <c r="I9" s="208" t="n">
        <v>250</v>
      </c>
      <c r="J9" s="208" t="n">
        <v>360</v>
      </c>
      <c r="K9" s="210" t="n">
        <v>300</v>
      </c>
    </row>
    <row r="10" ht="15.75" customHeight="1">
      <c r="A10" s="206" t="n"/>
      <c r="B10" s="211" t="inlineStr">
        <is>
          <t>沙田</t>
        </is>
      </c>
      <c r="C10" s="208" t="n">
        <v>310</v>
      </c>
      <c r="D10" s="208" t="n">
        <v>410</v>
      </c>
      <c r="E10" s="208" t="n">
        <v>400</v>
      </c>
      <c r="F10" s="208" t="n">
        <v>290</v>
      </c>
      <c r="G10" s="208" t="n">
        <v>360</v>
      </c>
      <c r="H10" s="208" t="n">
        <v>410</v>
      </c>
      <c r="I10" s="208" t="n">
        <v>360</v>
      </c>
      <c r="J10" s="208" t="n">
        <v>250</v>
      </c>
      <c r="K10" s="208" t="n">
        <v>300</v>
      </c>
    </row>
    <row r="11" ht="15.75" customHeight="1">
      <c r="A11" s="206" t="n"/>
      <c r="B11" s="212" t="inlineStr">
        <is>
          <t>郵碼</t>
        </is>
      </c>
      <c r="C11" s="208" t="n">
        <v>250</v>
      </c>
      <c r="D11" s="208" t="n">
        <v>300</v>
      </c>
      <c r="E11" s="208" t="n">
        <v>380</v>
      </c>
      <c r="F11" s="208" t="n">
        <v>450</v>
      </c>
      <c r="G11" s="208" t="n">
        <v>400</v>
      </c>
      <c r="H11" s="208" t="n">
        <v>450</v>
      </c>
      <c r="I11" s="208" t="n">
        <v>300</v>
      </c>
      <c r="J11" s="208" t="n">
        <v>300</v>
      </c>
      <c r="K11" s="208" t="inlineStr">
        <is>
          <t>NA</t>
        </is>
      </c>
    </row>
    <row r="14" ht="16.5" customHeight="1">
      <c r="B14" s="326" t="inlineStr">
        <is>
          <t>Disney &gt; AP</t>
        </is>
      </c>
      <c r="C14" s="414" t="n">
        <v>350</v>
      </c>
    </row>
    <row r="15" ht="16.5" customHeight="1">
      <c r="B15" s="326" t="inlineStr">
        <is>
          <t xml:space="preserve">AP &gt; Disney </t>
        </is>
      </c>
      <c r="C15" s="414" t="n">
        <v>400</v>
      </c>
    </row>
    <row r="16" ht="16.5" customHeight="1">
      <c r="B16" s="326" t="inlineStr">
        <is>
          <t>東涌　＞ＡＰ</t>
        </is>
      </c>
      <c r="C16" s="326" t="n">
        <v>250</v>
      </c>
    </row>
    <row r="17" ht="16.5" customHeight="1">
      <c r="B17" s="326" t="inlineStr">
        <is>
          <t>ＡＰ＞　東涌</t>
        </is>
      </c>
      <c r="C17" s="326" t="n">
        <v>300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4"/>
  <sheetViews>
    <sheetView topLeftCell="C1" zoomScale="80" zoomScaleNormal="80" workbookViewId="0">
      <selection activeCell="C12" sqref="C12"/>
    </sheetView>
  </sheetViews>
  <sheetFormatPr baseColWidth="8" defaultColWidth="8.75" defaultRowHeight="15"/>
  <cols>
    <col width="12.5" customWidth="1" style="29" min="1" max="1"/>
    <col width="60.125" customWidth="1" min="3" max="3"/>
    <col width="25.25" customWidth="1" min="4" max="4"/>
    <col width="9" bestFit="1" customWidth="1" min="5" max="7"/>
    <col width="11.5" bestFit="1" customWidth="1" min="8" max="8"/>
    <col width="9.5" customWidth="1" min="9" max="9"/>
    <col width="31.875" customWidth="1" style="423" min="10" max="10"/>
    <col width="9" bestFit="1" customWidth="1" style="424" min="11" max="12"/>
    <col width="15.125" customWidth="1" style="424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5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31" t="inlineStr">
        <is>
          <t>Driver.C+OT</t>
        </is>
      </c>
      <c r="N1" s="429" t="inlineStr">
        <is>
          <t>Bouns</t>
        </is>
      </c>
    </row>
    <row r="2" ht="17.25" customFormat="1" customHeight="1" s="112">
      <c r="A2" s="145" t="inlineStr">
        <is>
          <t>543903</t>
        </is>
      </c>
      <c r="B2" s="130" t="n">
        <v>0.1458333333333333</v>
      </c>
      <c r="C2" s="93" t="inlineStr">
        <is>
          <t>TST-AP</t>
        </is>
      </c>
      <c r="D2" s="432" t="inlineStr">
        <is>
          <t>Stanley LJ9800 9828 6100</t>
        </is>
      </c>
      <c r="E2" s="158" t="inlineStr">
        <is>
          <t>Done</t>
        </is>
      </c>
      <c r="F2" s="113" t="n">
        <v>0.1458333333333333</v>
      </c>
      <c r="G2" s="113" t="n">
        <v>0.1666666666666667</v>
      </c>
      <c r="H2" s="93" t="n"/>
      <c r="I2" s="433" t="n"/>
      <c r="J2" s="434" t="inlineStr">
        <is>
          <t>OT $60</t>
        </is>
      </c>
      <c r="K2" s="435" t="n">
        <v>60</v>
      </c>
      <c r="L2" s="436" t="n">
        <v>400</v>
      </c>
      <c r="M2" s="437">
        <f>SUM(K2:L2)</f>
        <v/>
      </c>
      <c r="N2" s="437" t="n">
        <v>30</v>
      </c>
    </row>
    <row r="3" customFormat="1" s="112">
      <c r="A3" s="145" t="inlineStr">
        <is>
          <t>543905</t>
        </is>
      </c>
      <c r="B3" s="130" t="n">
        <v>0.2083333333333333</v>
      </c>
      <c r="C3" s="93" t="inlineStr">
        <is>
          <t>TST-AP</t>
        </is>
      </c>
      <c r="D3" s="39" t="inlineStr">
        <is>
          <t>Stanley LJ9800 9828 6100</t>
        </is>
      </c>
      <c r="E3" s="158" t="inlineStr">
        <is>
          <t>Done</t>
        </is>
      </c>
      <c r="F3" s="113" t="n">
        <v>0.2083333333333333</v>
      </c>
      <c r="G3" s="113" t="n">
        <v>0.2291666666666667</v>
      </c>
      <c r="H3" s="39" t="n"/>
      <c r="I3" s="438" t="n"/>
      <c r="J3" s="434" t="inlineStr">
        <is>
          <t>OT $60</t>
        </is>
      </c>
      <c r="K3" s="437" t="n">
        <v>60</v>
      </c>
      <c r="L3" s="439" t="n">
        <v>400</v>
      </c>
      <c r="M3" s="437">
        <f>SUM(K3:L3)</f>
        <v/>
      </c>
      <c r="N3" s="437" t="n">
        <v>30</v>
      </c>
    </row>
    <row r="4" customFormat="1" s="112">
      <c r="A4" s="145" t="inlineStr">
        <is>
          <t>544166</t>
        </is>
      </c>
      <c r="B4" s="130" t="n">
        <v>0.3402777777777778</v>
      </c>
      <c r="C4" s="93" t="inlineStr">
        <is>
          <t>3V951 &gt; Cordis</t>
        </is>
      </c>
      <c r="D4" s="39" t="inlineStr">
        <is>
          <t xml:space="preserve">(Ricky 已付） Donny DC8685 62258245 </t>
        </is>
      </c>
      <c r="E4" s="158" t="inlineStr">
        <is>
          <t>Done</t>
        </is>
      </c>
      <c r="F4" s="113" t="n">
        <v>0.3708333333333333</v>
      </c>
      <c r="G4" s="113" t="n">
        <v>0.3902777777777778</v>
      </c>
      <c r="H4" s="39" t="n"/>
      <c r="I4" s="438" t="n"/>
      <c r="J4" s="434" t="inlineStr">
        <is>
          <t>P$35</t>
        </is>
      </c>
      <c r="K4" s="437" t="n">
        <v>35</v>
      </c>
      <c r="L4" s="439" t="n">
        <v>400</v>
      </c>
      <c r="M4" s="437">
        <f>SUM(K4:L4)</f>
        <v/>
      </c>
      <c r="N4" s="437" t="n">
        <v>30</v>
      </c>
    </row>
    <row r="5" ht="17.25" customFormat="1" customHeight="1" s="112">
      <c r="A5" s="91" t="inlineStr">
        <is>
          <t>542629</t>
        </is>
      </c>
      <c r="B5" s="48" t="n">
        <v>0.3645833333333333</v>
      </c>
      <c r="C5" s="101" t="inlineStr">
        <is>
          <t>3V951 &gt; Cordis</t>
        </is>
      </c>
      <c r="D5" s="440" t="inlineStr">
        <is>
          <t>Ricky ZJ6071 5108 9715</t>
        </is>
      </c>
      <c r="E5" s="158" t="inlineStr">
        <is>
          <t>Done</t>
        </is>
      </c>
      <c r="F5" s="113" t="n">
        <v>0.3743055555555556</v>
      </c>
      <c r="G5" s="113" t="n">
        <v>0.3958333333333333</v>
      </c>
      <c r="H5" s="39" t="n"/>
      <c r="I5" s="438" t="n"/>
      <c r="J5" s="441" t="inlineStr">
        <is>
          <t>P$35</t>
        </is>
      </c>
      <c r="K5" s="437" t="n">
        <v>35</v>
      </c>
      <c r="L5" s="436" t="n">
        <v>400</v>
      </c>
      <c r="M5" s="437">
        <f>SUM(K5:L5)</f>
        <v/>
      </c>
      <c r="N5" s="437" t="n">
        <v>30</v>
      </c>
    </row>
    <row r="6" ht="17.25" customFormat="1" customHeight="1" s="112">
      <c r="A6" s="91" t="inlineStr">
        <is>
          <t>495451</t>
        </is>
      </c>
      <c r="B6" s="48" t="n">
        <v>0.3333333333333333</v>
      </c>
      <c r="C6" s="101" t="inlineStr">
        <is>
          <t>啟德 onhire</t>
        </is>
      </c>
      <c r="D6" s="39" t="inlineStr">
        <is>
          <t>Stanley LJ9800 9828 6100</t>
        </is>
      </c>
      <c r="E6" s="93" t="inlineStr">
        <is>
          <t>Done</t>
        </is>
      </c>
      <c r="F6" s="40" t="n">
        <v>0.3333333333333333</v>
      </c>
      <c r="G6" s="40" t="n">
        <v>0.4430555555555555</v>
      </c>
      <c r="H6" s="39" t="n"/>
      <c r="I6" s="438" t="n"/>
      <c r="J6" s="442" t="inlineStr">
        <is>
          <t>4 hour on hire, 機場$200隧道$42</t>
        </is>
      </c>
      <c r="K6" s="443" t="n">
        <v>242</v>
      </c>
      <c r="L6" s="444" t="n">
        <v>920</v>
      </c>
      <c r="M6" s="437">
        <f>SUM(K6:L6)</f>
        <v/>
      </c>
      <c r="N6" s="437" t="n">
        <v>30</v>
      </c>
      <c r="P6" s="112" t="inlineStr">
        <is>
          <t>Holland America-westerdam-Kai Tak- nan loan cat street- peak- AP</t>
        </is>
      </c>
    </row>
    <row r="7" ht="17.25" customFormat="1" customHeight="1" s="112">
      <c r="A7" s="45" t="inlineStr">
        <is>
          <t xml:space="preserve">544167 </t>
        </is>
      </c>
      <c r="B7" s="46" t="n">
        <v>0.75</v>
      </c>
      <c r="C7" s="39" t="inlineStr">
        <is>
          <t>Cordis &gt; AP</t>
        </is>
      </c>
      <c r="D7" s="440" t="inlineStr">
        <is>
          <t>Fung UG5103 98036203</t>
        </is>
      </c>
      <c r="E7" s="158" t="inlineStr">
        <is>
          <t>Done</t>
        </is>
      </c>
      <c r="F7" s="40" t="n">
        <v>0.75</v>
      </c>
      <c r="G7" s="40" t="n">
        <v>0.7708333333333334</v>
      </c>
      <c r="H7" s="39" t="n"/>
      <c r="I7" s="438" t="n"/>
      <c r="J7" s="438" t="n"/>
      <c r="K7" s="445" t="n"/>
      <c r="L7" s="445" t="n">
        <v>400</v>
      </c>
      <c r="M7" s="437">
        <f>SUM(K7:L7)</f>
        <v/>
      </c>
      <c r="N7" s="437" t="n">
        <v>30</v>
      </c>
    </row>
    <row r="8" ht="17.25" customFormat="1" customHeight="1" s="112">
      <c r="A8" s="45" t="inlineStr">
        <is>
          <t>544125</t>
        </is>
      </c>
      <c r="B8" s="46" t="n">
        <v>0.7604166666666666</v>
      </c>
      <c r="C8" s="39" t="inlineStr">
        <is>
          <t>Cordis &gt; AP</t>
        </is>
      </c>
      <c r="D8" s="39" t="inlineStr">
        <is>
          <t>Keith CK9898 9888 0261</t>
        </is>
      </c>
      <c r="E8" s="93" t="inlineStr">
        <is>
          <t>Done</t>
        </is>
      </c>
      <c r="F8" s="40" t="n">
        <v>0.7604166666666666</v>
      </c>
      <c r="G8" s="40" t="n">
        <v>0.7791666666666667</v>
      </c>
      <c r="H8" s="39" t="n"/>
      <c r="I8" s="438" t="n"/>
      <c r="J8" s="446" t="n"/>
      <c r="K8" s="445" t="n"/>
      <c r="L8" s="445" t="n">
        <v>400</v>
      </c>
      <c r="M8" s="437">
        <f>SUM(K8:L8)</f>
        <v/>
      </c>
      <c r="N8" s="437" t="n">
        <v>30</v>
      </c>
    </row>
    <row r="9" ht="17.25" customFormat="1" customHeight="1" s="112">
      <c r="A9" s="316" t="inlineStr">
        <is>
          <t>544024</t>
        </is>
      </c>
      <c r="B9" s="174" t="n">
        <v>0.4583333333333333</v>
      </c>
      <c r="C9" s="165" t="inlineStr">
        <is>
          <t>富豪機場-T S T</t>
        </is>
      </c>
      <c r="D9" s="165" t="inlineStr">
        <is>
          <t>Ricky ZJ6071 5108 9715</t>
        </is>
      </c>
      <c r="E9" s="158" t="inlineStr">
        <is>
          <t>Done</t>
        </is>
      </c>
      <c r="F9" s="166" t="n">
        <v>0.4548611111111111</v>
      </c>
      <c r="G9" s="166" t="n">
        <v>0.4777777777777778</v>
      </c>
      <c r="H9" s="165" t="n"/>
      <c r="I9" s="446" t="n"/>
      <c r="J9" s="446" t="n"/>
      <c r="K9" s="447" t="n"/>
      <c r="L9" s="447" t="n">
        <v>400</v>
      </c>
      <c r="M9" s="448">
        <f>SUM(K9:L9)</f>
        <v/>
      </c>
      <c r="N9" s="448" t="n">
        <v>30</v>
      </c>
    </row>
    <row r="10" ht="17.25" customFormat="1" customHeight="1" s="112">
      <c r="A10" s="91" t="n"/>
      <c r="B10" s="48" t="n"/>
      <c r="C10" s="101" t="n"/>
      <c r="D10" s="39" t="n"/>
      <c r="E10" s="39" t="n"/>
      <c r="F10" s="40" t="n"/>
      <c r="G10" s="40" t="n"/>
      <c r="H10" s="449" t="n"/>
      <c r="I10" s="438" t="n"/>
      <c r="J10" s="438" t="n"/>
      <c r="K10" s="437" t="n"/>
      <c r="L10" s="437" t="n"/>
      <c r="M10" s="437">
        <f>SUM(K10:L10)</f>
        <v/>
      </c>
      <c r="N10" s="437" t="n"/>
    </row>
    <row r="11" ht="17.25" customFormat="1" customHeight="1" s="112">
      <c r="A11" s="91" t="n"/>
      <c r="B11" s="48" t="n"/>
      <c r="C11" s="101" t="n"/>
      <c r="D11" s="39" t="n"/>
      <c r="E11" s="39" t="n"/>
      <c r="F11" s="40" t="n"/>
      <c r="G11" s="40" t="n"/>
      <c r="H11" s="449" t="n"/>
      <c r="I11" s="438" t="n"/>
      <c r="J11" s="438" t="n"/>
      <c r="K11" s="437" t="n"/>
      <c r="L11" s="437" t="n"/>
      <c r="M11" s="437">
        <f>SUM(K11:L11)</f>
        <v/>
      </c>
      <c r="N11" s="437" t="n"/>
    </row>
    <row r="12" ht="17.25" customFormat="1" customHeight="1" s="112">
      <c r="A12" s="45" t="n"/>
      <c r="B12" s="48" t="n"/>
      <c r="C12" s="39" t="n"/>
      <c r="D12" s="440" t="n"/>
      <c r="E12" s="39" t="n"/>
      <c r="F12" s="40" t="n"/>
      <c r="G12" s="40" t="n"/>
      <c r="H12" s="449" t="n"/>
      <c r="I12" s="438" t="n"/>
      <c r="J12" s="450" t="n"/>
      <c r="K12" s="437" t="n"/>
      <c r="L12" s="436" t="n"/>
      <c r="M12" s="451" t="n"/>
      <c r="N12" s="437" t="n"/>
    </row>
    <row r="13" ht="17.25" customFormat="1" customHeight="1" s="6">
      <c r="A13" s="59" t="n"/>
      <c r="B13" s="52" t="n"/>
      <c r="C13" s="53" t="n"/>
      <c r="D13" s="452" t="n"/>
      <c r="E13" s="53" t="n"/>
      <c r="F13" s="54" t="n"/>
      <c r="G13" s="54" t="n"/>
      <c r="H13" s="53" t="n"/>
      <c r="I13" s="453" t="n"/>
      <c r="J13" s="441" t="n"/>
      <c r="K13" s="437" t="n"/>
      <c r="L13" s="436" t="n"/>
      <c r="M13" s="451" t="n"/>
      <c r="N13" s="437" t="n"/>
    </row>
    <row r="14" ht="17.25" customHeight="1">
      <c r="A14" s="45" t="n"/>
      <c r="B14" s="46" t="n"/>
      <c r="C14" s="39" t="n"/>
      <c r="D14" s="454" t="n"/>
      <c r="E14" s="39" t="n"/>
      <c r="F14" s="40" t="n"/>
      <c r="G14" s="40" t="n"/>
      <c r="H14" s="39" t="n"/>
      <c r="I14" s="438" t="n"/>
      <c r="J14" s="441" t="n"/>
      <c r="K14" s="437" t="n"/>
      <c r="L14" s="436" t="n"/>
      <c r="M14" s="451" t="n"/>
      <c r="N14" s="437" t="n"/>
    </row>
    <row r="15" ht="17.25" customHeight="1">
      <c r="A15" s="47" t="n"/>
      <c r="B15" s="48" t="n"/>
      <c r="C15" s="39" t="n"/>
      <c r="D15" s="454" t="n"/>
      <c r="E15" s="39" t="n"/>
      <c r="F15" s="40" t="n"/>
      <c r="G15" s="40" t="n"/>
      <c r="H15" s="39" t="n"/>
      <c r="I15" s="438" t="n"/>
      <c r="J15" s="441" t="n"/>
      <c r="K15" s="437" t="n"/>
      <c r="L15" s="436" t="n"/>
      <c r="M15" s="451" t="n"/>
      <c r="N15" s="437" t="n"/>
    </row>
    <row r="16" ht="17.25" customHeight="1">
      <c r="A16" s="45" t="n"/>
      <c r="B16" s="46" t="n"/>
      <c r="C16" s="39" t="n"/>
      <c r="D16" s="440" t="n"/>
      <c r="E16" s="39" t="n"/>
      <c r="F16" s="40" t="n"/>
      <c r="G16" s="40" t="n"/>
      <c r="H16" s="39" t="n"/>
      <c r="I16" s="438" t="n"/>
      <c r="J16" s="441" t="n"/>
      <c r="K16" s="437" t="n"/>
      <c r="L16" s="437" t="n"/>
      <c r="M16" s="451" t="n"/>
      <c r="N16" s="437" t="n"/>
    </row>
    <row r="17" ht="17.25" customHeight="1">
      <c r="A17" s="1" t="n"/>
      <c r="B17" s="8" t="n"/>
      <c r="C17" s="53" t="n"/>
      <c r="D17" s="425" t="n"/>
      <c r="E17" s="53" t="n"/>
      <c r="F17" s="61" t="n"/>
      <c r="G17" s="61" t="n"/>
      <c r="H17" s="53" t="n"/>
      <c r="I17" s="453" t="n"/>
      <c r="J17" s="455" t="n"/>
      <c r="K17" s="451" t="n"/>
      <c r="L17" s="451" t="n"/>
      <c r="M17" s="451" t="n"/>
      <c r="N17" s="437" t="n"/>
    </row>
    <row r="18" ht="17.25" customHeight="1">
      <c r="A18" s="51" t="n"/>
      <c r="B18" s="62" t="n"/>
      <c r="C18" s="53" t="n"/>
      <c r="D18" s="425" t="n"/>
      <c r="E18" s="53" t="n"/>
      <c r="F18" s="61" t="n"/>
      <c r="G18" s="61" t="n"/>
      <c r="H18" s="53" t="n"/>
      <c r="I18" s="453" t="n"/>
      <c r="J18" s="455" t="n"/>
      <c r="K18" s="451" t="n"/>
      <c r="L18" s="451" t="n"/>
      <c r="M18" s="451" t="n"/>
      <c r="N18" s="437" t="n"/>
    </row>
    <row r="19" ht="17.25" customHeight="1">
      <c r="A19" s="51" t="n"/>
      <c r="B19" s="62" t="n"/>
      <c r="C19" s="53" t="n"/>
      <c r="D19" s="425" t="n"/>
      <c r="E19" s="53" t="n"/>
      <c r="F19" s="61" t="n"/>
      <c r="G19" s="61" t="n"/>
      <c r="H19" s="53" t="n"/>
      <c r="I19" s="453" t="n"/>
      <c r="J19" s="455" t="n"/>
      <c r="K19" s="451" t="n"/>
      <c r="L19" s="451" t="n"/>
      <c r="M19" s="451" t="n"/>
      <c r="N19" s="437" t="n"/>
    </row>
    <row r="20" ht="17.25" customHeight="1">
      <c r="A20" s="51" t="n"/>
      <c r="B20" s="62" t="n"/>
      <c r="C20" s="53" t="n"/>
      <c r="D20" s="425" t="n"/>
      <c r="E20" s="53" t="n"/>
      <c r="F20" s="61" t="n"/>
      <c r="G20" s="61" t="n"/>
      <c r="H20" s="53" t="n"/>
      <c r="I20" s="453" t="n"/>
      <c r="J20" s="455" t="n"/>
      <c r="K20" s="451" t="n"/>
      <c r="L20" s="451" t="n"/>
      <c r="M20" s="451" t="n"/>
      <c r="N20" s="437" t="n"/>
    </row>
    <row r="21">
      <c r="A21" s="51" t="n"/>
      <c r="B21" s="62" t="n"/>
      <c r="C21" s="53" t="n"/>
      <c r="D21" s="425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51" t="n"/>
      <c r="N21" s="437" t="n"/>
    </row>
    <row r="22">
      <c r="A22" s="51" t="n"/>
      <c r="B22" s="62" t="n"/>
      <c r="C22" s="53" t="n"/>
      <c r="D22" s="456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51" t="n"/>
      <c r="N22" s="437" t="n"/>
    </row>
    <row r="23">
      <c r="A23" s="116" t="n"/>
      <c r="B23" s="8" t="n"/>
      <c r="C23" s="117" t="n"/>
      <c r="D23" s="452" t="n"/>
      <c r="E23" s="53" t="n"/>
      <c r="F23" s="54" t="n"/>
      <c r="G23" s="54" t="n"/>
      <c r="H23" s="53" t="n"/>
      <c r="I23" s="453" t="n"/>
      <c r="J23" s="455" t="n"/>
      <c r="K23" s="451" t="n"/>
      <c r="L23" s="451" t="n"/>
      <c r="M23" s="451" t="n"/>
      <c r="N23" s="437" t="n"/>
    </row>
    <row r="24">
      <c r="A24" s="116" t="n"/>
      <c r="B24" s="8" t="n"/>
      <c r="C24" s="117" t="n"/>
      <c r="D24" s="452" t="n"/>
      <c r="E24" s="53" t="n"/>
      <c r="F24" s="54" t="n"/>
      <c r="G24" s="54" t="n"/>
      <c r="H24" s="53" t="n"/>
      <c r="I24" s="453" t="n"/>
      <c r="J24" s="455" t="n"/>
      <c r="K24" s="451" t="n"/>
      <c r="L24" s="451" t="n"/>
      <c r="M24" s="451" t="n"/>
      <c r="N24" s="437" t="n"/>
    </row>
    <row r="25">
      <c r="A25" s="116" t="n"/>
      <c r="B25" s="8" t="n"/>
      <c r="C25" s="73" t="n"/>
      <c r="D25" s="452" t="n"/>
      <c r="E25" s="53" t="n"/>
      <c r="F25" s="54" t="n"/>
      <c r="G25" s="54" t="n"/>
      <c r="H25" s="53" t="n"/>
      <c r="I25" s="453" t="n"/>
      <c r="J25" s="455" t="n"/>
      <c r="K25" s="451" t="n"/>
      <c r="L25" s="451" t="n"/>
      <c r="M25" s="451" t="n"/>
      <c r="N25" s="437" t="n"/>
    </row>
    <row r="26">
      <c r="A26" s="116" t="n"/>
      <c r="B26" s="8" t="n"/>
      <c r="C26" s="73" t="n"/>
      <c r="D26" s="452" t="n"/>
      <c r="E26" s="53" t="n"/>
      <c r="F26" s="54" t="n"/>
      <c r="G26" s="54" t="n"/>
      <c r="H26" s="53" t="n"/>
      <c r="I26" s="453" t="n"/>
      <c r="J26" s="455" t="n"/>
      <c r="K26" s="451" t="n"/>
      <c r="L26" s="451" t="n"/>
      <c r="M26" s="451" t="n"/>
      <c r="N26" s="437" t="n"/>
    </row>
    <row r="27">
      <c r="A27" s="1" t="n"/>
      <c r="B27" s="62" t="n"/>
      <c r="C27" s="118" t="n"/>
      <c r="D27" s="452" t="n"/>
      <c r="E27" s="53" t="n"/>
      <c r="F27" s="54" t="n"/>
      <c r="G27" s="54" t="n"/>
      <c r="H27" s="457" t="n"/>
      <c r="I27" s="453" t="n"/>
      <c r="J27" s="455" t="n"/>
      <c r="K27" s="451" t="n"/>
      <c r="L27" s="451" t="n"/>
      <c r="M27" s="451" t="n"/>
      <c r="N27" s="437" t="n"/>
    </row>
    <row r="28">
      <c r="A28" s="116" t="n"/>
      <c r="B28" s="52" t="n"/>
      <c r="C28" s="119" t="n"/>
      <c r="D28" s="452" t="n"/>
      <c r="E28" s="53" t="n"/>
      <c r="F28" s="54" t="n"/>
      <c r="G28" s="54" t="n"/>
      <c r="H28" s="457" t="n"/>
      <c r="I28" s="453" t="n"/>
      <c r="J28" s="455" t="n"/>
      <c r="K28" s="451" t="n"/>
      <c r="L28" s="451" t="n"/>
      <c r="M28" s="451" t="n"/>
      <c r="N28" s="437" t="n"/>
    </row>
    <row r="29">
      <c r="A29" s="116" t="n"/>
      <c r="B29" s="52" t="n"/>
      <c r="C29" s="119" t="n"/>
      <c r="D29" s="452" t="n"/>
      <c r="E29" s="53" t="n"/>
      <c r="F29" s="54" t="n"/>
      <c r="G29" s="54" t="n"/>
      <c r="H29" s="53" t="n"/>
      <c r="I29" s="453" t="n"/>
      <c r="J29" s="455" t="n"/>
      <c r="K29" s="451" t="n"/>
      <c r="L29" s="451" t="n"/>
      <c r="M29" s="451" t="n"/>
      <c r="N29" s="437" t="n"/>
    </row>
    <row r="30">
      <c r="A30" s="116" t="n"/>
      <c r="B30" s="52" t="n"/>
      <c r="C30" s="117" t="n"/>
      <c r="D30" s="452" t="n"/>
      <c r="E30" s="53" t="n"/>
      <c r="F30" s="54" t="n"/>
      <c r="G30" s="54" t="n"/>
      <c r="H30" s="53" t="n"/>
      <c r="I30" s="453" t="n"/>
      <c r="J30" s="458" t="n"/>
      <c r="K30" s="459" t="n"/>
      <c r="L30" s="459" t="n"/>
      <c r="M30" s="451" t="n"/>
      <c r="N30" s="437" t="n"/>
    </row>
    <row r="31">
      <c r="A31" s="116" t="n"/>
      <c r="B31" s="52" t="n"/>
      <c r="C31" s="53" t="n"/>
      <c r="D31" s="452" t="n"/>
      <c r="E31" s="53" t="n"/>
      <c r="F31" s="54" t="n"/>
      <c r="G31" s="54" t="n"/>
      <c r="H31" s="53" t="n"/>
      <c r="I31" s="453" t="n"/>
      <c r="J31" s="458" t="n"/>
      <c r="K31" s="459" t="n"/>
      <c r="L31" s="459" t="n"/>
      <c r="M31" s="451" t="n"/>
      <c r="N31" s="437" t="n"/>
    </row>
    <row r="32">
      <c r="A32" s="116" t="n"/>
      <c r="B32" s="52" t="n"/>
      <c r="C32" s="53" t="n"/>
      <c r="D32" s="452" t="n"/>
      <c r="E32" s="53" t="n"/>
      <c r="F32" s="54" t="n"/>
      <c r="G32" s="54" t="n"/>
      <c r="H32" s="457" t="n"/>
      <c r="I32" s="453" t="n"/>
      <c r="J32" s="458" t="n"/>
      <c r="K32" s="459" t="n"/>
      <c r="L32" s="459" t="n"/>
      <c r="M32" s="451" t="n"/>
      <c r="N32" s="437" t="n"/>
    </row>
    <row r="33">
      <c r="A33" s="14" t="n"/>
      <c r="B33" s="15" t="n"/>
      <c r="C33" s="10" t="n"/>
      <c r="D33" s="460" t="n"/>
      <c r="E33" s="10" t="n"/>
      <c r="F33" s="61" t="n"/>
      <c r="G33" s="61" t="n"/>
      <c r="H33" s="10" t="n"/>
      <c r="I33" s="461" t="n"/>
      <c r="J33" s="458" t="n"/>
      <c r="K33" s="459" t="n"/>
      <c r="L33" s="459" t="n"/>
      <c r="M33" s="451" t="n"/>
      <c r="N33" s="437" t="n"/>
    </row>
    <row r="34">
      <c r="A34" s="14" t="n"/>
      <c r="B34" s="15" t="n"/>
      <c r="C34" s="10" t="n"/>
      <c r="D34" s="425" t="n"/>
      <c r="E34" s="10" t="n"/>
      <c r="F34" s="61" t="n"/>
      <c r="G34" s="61" t="n"/>
      <c r="H34" s="10" t="n"/>
      <c r="I34" s="461" t="n"/>
      <c r="J34" s="458" t="n"/>
      <c r="K34" s="459" t="n"/>
      <c r="L34" s="459" t="n"/>
      <c r="M34" s="451" t="n"/>
      <c r="N34" s="437" t="n"/>
    </row>
    <row r="35">
      <c r="A35" s="17" t="n"/>
      <c r="B35" s="18" t="n"/>
      <c r="C35" s="10" t="n"/>
      <c r="D35" s="452" t="n"/>
      <c r="E35" s="10" t="n"/>
      <c r="F35" s="61" t="n"/>
      <c r="G35" s="61" t="n"/>
      <c r="H35" s="10" t="n"/>
      <c r="I35" s="461" t="n"/>
      <c r="J35" s="458" t="n"/>
      <c r="K35" s="459" t="n"/>
      <c r="L35" s="459" t="n"/>
      <c r="M35" s="451" t="n"/>
      <c r="N35" s="437" t="n"/>
    </row>
    <row r="36">
      <c r="A36" s="17" t="n"/>
      <c r="B36" s="18" t="n"/>
      <c r="C36" s="10" t="n"/>
      <c r="D36" s="452" t="n"/>
      <c r="E36" s="10" t="n"/>
      <c r="F36" s="61" t="n"/>
      <c r="G36" s="61" t="n"/>
      <c r="H36" s="10" t="n"/>
      <c r="I36" s="461" t="n"/>
      <c r="J36" s="458" t="n"/>
      <c r="K36" s="459" t="n"/>
      <c r="L36" s="459" t="n"/>
      <c r="M36" s="451" t="n"/>
      <c r="N36" s="437" t="n"/>
    </row>
    <row r="37">
      <c r="A37" s="17" t="n"/>
      <c r="B37" s="18" t="n"/>
      <c r="C37" s="10" t="n"/>
      <c r="D37" s="452" t="n"/>
      <c r="E37" s="10" t="n"/>
      <c r="F37" s="61" t="n"/>
      <c r="G37" s="61" t="n"/>
      <c r="H37" s="10" t="n"/>
      <c r="I37" s="461" t="n"/>
      <c r="J37" s="462" t="n"/>
      <c r="K37" s="463" t="n"/>
      <c r="L37" s="463" t="n"/>
      <c r="M37" s="464" t="n"/>
      <c r="N37" s="435" t="n"/>
    </row>
    <row r="38">
      <c r="A38" s="20" t="n"/>
      <c r="B38" s="21" t="n"/>
      <c r="C38" s="22" t="n"/>
      <c r="D38" s="21" t="n"/>
      <c r="E38" s="21" t="n"/>
      <c r="F38" s="21" t="n"/>
      <c r="G38" s="21" t="n"/>
      <c r="H38" s="21" t="n"/>
      <c r="I38" s="465" t="n"/>
      <c r="J38" s="466" t="n"/>
      <c r="K38" s="467" t="n"/>
      <c r="L38" s="467" t="n"/>
      <c r="M38" s="467" t="n"/>
      <c r="N38" s="468" t="n"/>
    </row>
    <row r="39">
      <c r="A39" s="20" t="n"/>
      <c r="B39" s="21" t="n"/>
      <c r="C39" s="22" t="n"/>
      <c r="D39" s="21" t="n"/>
      <c r="E39" s="21" t="n"/>
      <c r="F39" s="21" t="n"/>
      <c r="G39" s="21" t="n"/>
      <c r="H39" s="21" t="n"/>
      <c r="I39" s="465" t="n"/>
      <c r="J39" s="469" t="n"/>
      <c r="K39" s="470" t="n"/>
      <c r="L39" s="470" t="n"/>
      <c r="M39" s="470" t="n"/>
      <c r="N39" s="471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9" t="n"/>
      <c r="K40" s="470" t="n"/>
      <c r="L40" s="470" t="n"/>
      <c r="M40" s="472">
        <f>SUM(M2:M37)</f>
        <v/>
      </c>
      <c r="N40" s="472">
        <f>SUM(N2:N37)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9" t="n"/>
      <c r="K41" s="470" t="n"/>
      <c r="L41" s="470" t="n"/>
      <c r="M41" s="473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9" t="n"/>
      <c r="K42" s="470" t="n"/>
      <c r="L42" s="47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autoFilter ref="B1:B134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4"/>
  <sheetViews>
    <sheetView topLeftCell="C18" zoomScale="80" zoomScaleNormal="80" workbookViewId="0">
      <selection activeCell="D10" sqref="D10"/>
    </sheetView>
  </sheetViews>
  <sheetFormatPr baseColWidth="8" defaultColWidth="8.75" defaultRowHeight="15"/>
  <cols>
    <col width="10.75" customWidth="1" style="29" min="1" max="1"/>
    <col width="13.5" bestFit="1" customWidth="1" min="2" max="2"/>
    <col width="61.25" customWidth="1" min="3" max="3"/>
    <col width="25.25" customWidth="1" min="4" max="4"/>
    <col width="9" bestFit="1" customWidth="1" min="5" max="7"/>
    <col width="11.5" bestFit="1" customWidth="1" min="8" max="8"/>
    <col width="11" customWidth="1" min="9" max="9"/>
    <col width="34.5" customWidth="1" style="423" min="10" max="10"/>
    <col width="9" bestFit="1" customWidth="1" style="424" min="11" max="12"/>
    <col width="15.125" customWidth="1" style="424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5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Format="1" customHeight="1" s="112">
      <c r="A2" s="200" t="n">
        <v>544164</v>
      </c>
      <c r="B2" s="226" t="n">
        <v>0.1805555555555556</v>
      </c>
      <c r="C2" s="93" t="inlineStr">
        <is>
          <t>3V953 &gt; Cordis</t>
        </is>
      </c>
      <c r="D2" s="165" t="inlineStr">
        <is>
          <t>Ricky ZJ6071 5108 9715</t>
        </is>
      </c>
      <c r="E2" s="158" t="inlineStr">
        <is>
          <t>Done</t>
        </is>
      </c>
      <c r="F2" s="416" t="n">
        <v>0.1916666666666667</v>
      </c>
      <c r="G2" s="113" t="n">
        <v>0.2138888888888889</v>
      </c>
      <c r="H2" s="93" t="n"/>
      <c r="I2" s="433" t="n"/>
      <c r="J2" s="446" t="inlineStr">
        <is>
          <t>P $35 ， OT $60</t>
        </is>
      </c>
      <c r="K2" s="474" t="n">
        <v>95</v>
      </c>
      <c r="L2" s="437" t="n">
        <v>400</v>
      </c>
      <c r="M2" s="437">
        <f>SUM(K2:L2)</f>
        <v/>
      </c>
      <c r="N2" s="437" t="n">
        <v>30</v>
      </c>
    </row>
    <row r="3" ht="17.25" customFormat="1" customHeight="1" s="112">
      <c r="A3" s="200" t="n">
        <v>544282</v>
      </c>
      <c r="B3" s="226" t="n">
        <v>0.2083333333333333</v>
      </c>
      <c r="C3" s="93" t="inlineStr">
        <is>
          <t>Cordis &gt; AP</t>
        </is>
      </c>
      <c r="D3" s="440" t="inlineStr">
        <is>
          <t>（Ricky 已付）街車</t>
        </is>
      </c>
      <c r="E3" s="158" t="inlineStr">
        <is>
          <t>Done</t>
        </is>
      </c>
      <c r="F3" s="113" t="n">
        <v>0.2090277777777778</v>
      </c>
      <c r="G3" s="113" t="n">
        <v>0.2284722222222222</v>
      </c>
      <c r="H3" s="39" t="n"/>
      <c r="I3" s="438" t="n"/>
      <c r="J3" s="438" t="inlineStr">
        <is>
          <t>OT $60</t>
        </is>
      </c>
      <c r="K3" s="474" t="n">
        <v>60</v>
      </c>
      <c r="L3" s="437" t="n">
        <v>400</v>
      </c>
      <c r="M3" s="437">
        <f>SUM(K3:L3)</f>
        <v/>
      </c>
      <c r="N3" s="437" t="n">
        <v>30</v>
      </c>
    </row>
    <row r="4" ht="17.25" customFormat="1" customHeight="1" s="112">
      <c r="A4" s="200" t="n">
        <v>544283</v>
      </c>
      <c r="B4" s="226" t="n">
        <v>0.3020833333333333</v>
      </c>
      <c r="C4" s="93" t="inlineStr">
        <is>
          <t>Cordis &gt; AP</t>
        </is>
      </c>
      <c r="D4" s="440" t="inlineStr">
        <is>
          <t>Jackson WD3650 9511 2089</t>
        </is>
      </c>
      <c r="E4" s="158" t="inlineStr">
        <is>
          <t>Done</t>
        </is>
      </c>
      <c r="F4" s="113" t="n">
        <v>0.3055555555555556</v>
      </c>
      <c r="G4" s="113" t="n">
        <v>0.3263888888888889</v>
      </c>
      <c r="H4" s="39" t="n"/>
      <c r="I4" s="438" t="n"/>
      <c r="J4" s="438" t="n"/>
      <c r="K4" s="474" t="n"/>
      <c r="L4" s="437" t="n">
        <v>400</v>
      </c>
      <c r="M4" s="437">
        <f>SUM(K4:L4)</f>
        <v/>
      </c>
      <c r="N4" s="437" t="n">
        <v>30</v>
      </c>
    </row>
    <row r="5" ht="17.25" customFormat="1" customHeight="1" s="112">
      <c r="A5" s="163" t="inlineStr">
        <is>
          <t>544284</t>
        </is>
      </c>
      <c r="B5" s="120" t="n">
        <v>0.2916666666666667</v>
      </c>
      <c r="C5" s="93" t="inlineStr">
        <is>
          <t>3V401A &gt; Cordis</t>
        </is>
      </c>
      <c r="D5" s="440" t="inlineStr">
        <is>
          <t xml:space="preserve">(Ricky 已付)Fenton HH519 </t>
        </is>
      </c>
      <c r="E5" s="158" t="inlineStr">
        <is>
          <t>Done</t>
        </is>
      </c>
      <c r="F5" s="113" t="n">
        <v>0.3159722222222222</v>
      </c>
      <c r="G5" s="113" t="n">
        <v>0.3388888888888889</v>
      </c>
      <c r="H5" s="39" t="n"/>
      <c r="I5" s="438" t="n"/>
      <c r="J5" s="438" t="inlineStr">
        <is>
          <t>公司收OT $60 ， P $35</t>
        </is>
      </c>
      <c r="K5" s="474" t="n">
        <v>35</v>
      </c>
      <c r="L5" s="437" t="n">
        <v>400</v>
      </c>
      <c r="M5" s="437">
        <f>SUM(K5:L5)</f>
        <v/>
      </c>
      <c r="N5" s="437" t="n">
        <v>30</v>
      </c>
    </row>
    <row r="6">
      <c r="A6" s="163" t="inlineStr">
        <is>
          <t>544285</t>
        </is>
      </c>
      <c r="B6" s="120" t="n">
        <v>0.75</v>
      </c>
      <c r="C6" s="93" t="inlineStr">
        <is>
          <t>3V401 &gt; Cordis</t>
        </is>
      </c>
      <c r="D6" s="440" t="inlineStr">
        <is>
          <t>Anthony YV139 6682 6557</t>
        </is>
      </c>
      <c r="E6" s="158" t="inlineStr">
        <is>
          <t>Done</t>
        </is>
      </c>
      <c r="F6" s="113" t="n">
        <v>0.7743055555555556</v>
      </c>
      <c r="G6" s="113" t="n">
        <v>0.7951388888888888</v>
      </c>
      <c r="H6" s="39" t="n"/>
      <c r="I6" s="438" t="n"/>
      <c r="J6" s="438" t="inlineStr">
        <is>
          <t>P $35</t>
        </is>
      </c>
      <c r="K6" s="475" t="n">
        <v>35</v>
      </c>
      <c r="L6" s="437" t="n">
        <v>400</v>
      </c>
      <c r="M6" s="437">
        <f>SUM(K6:L6)</f>
        <v/>
      </c>
      <c r="N6" s="437" t="n">
        <v>30</v>
      </c>
    </row>
    <row r="7">
      <c r="A7" s="163" t="inlineStr">
        <is>
          <t>544095</t>
        </is>
      </c>
      <c r="B7" s="120" t="n">
        <v>0.6111111111111112</v>
      </c>
      <c r="C7" s="93" t="inlineStr">
        <is>
          <t>M B 300 -TST</t>
        </is>
      </c>
      <c r="D7" s="39" t="inlineStr">
        <is>
          <t>Keith CK9898 9888 0261</t>
        </is>
      </c>
      <c r="E7" s="158" t="inlineStr">
        <is>
          <t>Done</t>
        </is>
      </c>
      <c r="F7" s="113" t="n">
        <v>0.65</v>
      </c>
      <c r="G7" s="113" t="n">
        <v>0.6736111111111112</v>
      </c>
      <c r="H7" s="39" t="n"/>
      <c r="I7" s="438" t="n"/>
      <c r="J7" s="438" t="inlineStr">
        <is>
          <t>P $35</t>
        </is>
      </c>
      <c r="K7" s="475" t="n">
        <v>35</v>
      </c>
      <c r="L7" s="437" t="n">
        <v>400</v>
      </c>
      <c r="M7" s="437">
        <f>SUM(K7:L7)</f>
        <v/>
      </c>
      <c r="N7" s="437" t="n">
        <v>30</v>
      </c>
    </row>
    <row r="8">
      <c r="A8" s="163" t="inlineStr">
        <is>
          <t>544095</t>
        </is>
      </c>
      <c r="B8" s="120" t="n">
        <v>0.6111111111111112</v>
      </c>
      <c r="C8" s="93" t="inlineStr">
        <is>
          <t>M B 300 -TST</t>
        </is>
      </c>
      <c r="D8" s="39" t="inlineStr">
        <is>
          <t>Bob NH4116 9559 2345</t>
        </is>
      </c>
      <c r="E8" s="158" t="inlineStr">
        <is>
          <t>Done</t>
        </is>
      </c>
      <c r="F8" s="113" t="n">
        <v>0.65</v>
      </c>
      <c r="G8" s="113" t="n">
        <v>0.6736111111111112</v>
      </c>
      <c r="H8" s="39" t="n"/>
      <c r="I8" s="438" t="n"/>
      <c r="J8" s="438" t="inlineStr">
        <is>
          <t>P $35</t>
        </is>
      </c>
      <c r="K8" s="475" t="n">
        <v>35</v>
      </c>
      <c r="L8" s="437" t="n">
        <v>400</v>
      </c>
      <c r="M8" s="437">
        <f>SUM(K8:L8)</f>
        <v/>
      </c>
      <c r="N8" s="437" t="n">
        <v>30</v>
      </c>
    </row>
    <row r="9" ht="17.25" customHeight="1">
      <c r="A9" s="45" t="inlineStr">
        <is>
          <t>542632</t>
        </is>
      </c>
      <c r="B9" s="46" t="n">
        <v>0.7777777777777778</v>
      </c>
      <c r="C9" s="39" t="inlineStr">
        <is>
          <t>Cordis &gt; AP</t>
        </is>
      </c>
      <c r="D9" s="101" t="inlineStr">
        <is>
          <t>Keith CK9898 9888 0261</t>
        </is>
      </c>
      <c r="E9" s="93" t="inlineStr">
        <is>
          <t>Done</t>
        </is>
      </c>
      <c r="F9" s="40" t="n">
        <v>0.78125</v>
      </c>
      <c r="G9" s="40" t="n">
        <v>0.8020833333333334</v>
      </c>
      <c r="H9" s="39" t="n"/>
      <c r="I9" s="438" t="n"/>
      <c r="J9" s="438" t="n"/>
      <c r="K9" s="475" t="n"/>
      <c r="L9" s="437" t="n">
        <v>400</v>
      </c>
      <c r="M9" s="437">
        <f>SUM(K9:L9)</f>
        <v/>
      </c>
      <c r="N9" s="437" t="n">
        <v>30</v>
      </c>
    </row>
    <row r="10" ht="17.25" customHeight="1">
      <c r="A10" s="91" t="inlineStr">
        <is>
          <t>544086</t>
        </is>
      </c>
      <c r="B10" s="48" t="n">
        <v>0.7708333333333334</v>
      </c>
      <c r="C10" s="101" t="inlineStr">
        <is>
          <t>A F 0188 -T S T</t>
        </is>
      </c>
      <c r="D10" s="432" t="inlineStr">
        <is>
          <t>Stanley LJ9800 9828 6100</t>
        </is>
      </c>
      <c r="E10" s="39" t="inlineStr">
        <is>
          <t>Done</t>
        </is>
      </c>
      <c r="F10" s="40" t="n">
        <v>0.8243055555555555</v>
      </c>
      <c r="G10" s="40" t="n">
        <v>0.8493055555555555</v>
      </c>
      <c r="H10" s="449" t="n"/>
      <c r="I10" s="438" t="n"/>
      <c r="J10" s="441" t="inlineStr">
        <is>
          <t>P $64 ，wait 0.5 hour$90公司收</t>
        </is>
      </c>
      <c r="K10" s="437" t="n">
        <v>64</v>
      </c>
      <c r="L10" s="437" t="n">
        <v>400</v>
      </c>
      <c r="M10" s="437">
        <f>SUM(K10:L10)</f>
        <v/>
      </c>
      <c r="N10" s="437" t="n">
        <v>30</v>
      </c>
    </row>
    <row r="11" ht="17.25" customHeight="1">
      <c r="A11" s="91" t="inlineStr">
        <is>
          <t>544094</t>
        </is>
      </c>
      <c r="B11" s="48" t="n">
        <v>0.875</v>
      </c>
      <c r="C11" s="101" t="inlineStr">
        <is>
          <t>TST -A P</t>
        </is>
      </c>
      <c r="D11" s="440" t="inlineStr">
        <is>
          <t>Keith CK9898 9888 0261</t>
        </is>
      </c>
      <c r="E11" s="39" t="inlineStr">
        <is>
          <t>Done</t>
        </is>
      </c>
      <c r="F11" s="40" t="n">
        <v>0.875</v>
      </c>
      <c r="G11" s="40" t="n">
        <v>0.8958333333333334</v>
      </c>
      <c r="H11" s="39" t="n"/>
      <c r="I11" s="438" t="n"/>
      <c r="J11" s="441" t="n"/>
      <c r="K11" s="437" t="n"/>
      <c r="L11" s="437" t="n">
        <v>400</v>
      </c>
      <c r="M11" s="437">
        <f>SUM(K11:L11)</f>
        <v/>
      </c>
      <c r="N11" s="437" t="n">
        <v>30</v>
      </c>
    </row>
    <row r="12" ht="17.25" customHeight="1">
      <c r="A12" s="91" t="inlineStr">
        <is>
          <t>544096</t>
        </is>
      </c>
      <c r="B12" s="48" t="n">
        <v>0.9236111111111112</v>
      </c>
      <c r="C12" s="101" t="inlineStr">
        <is>
          <t>TST -A P</t>
        </is>
      </c>
      <c r="D12" s="440" t="inlineStr">
        <is>
          <t>Stanley LJ9800 9828 6100</t>
        </is>
      </c>
      <c r="E12" s="39" t="inlineStr">
        <is>
          <t>Done</t>
        </is>
      </c>
      <c r="F12" s="40" t="n">
        <v>0.9236111111111112</v>
      </c>
      <c r="G12" s="40" t="n">
        <v>0.9444444444444444</v>
      </c>
      <c r="H12" s="39" t="n"/>
      <c r="I12" s="438" t="n"/>
      <c r="J12" s="441" t="n"/>
      <c r="K12" s="437" t="n"/>
      <c r="L12" s="437" t="n">
        <v>400</v>
      </c>
      <c r="M12" s="437">
        <f>SUM(K12:L12)</f>
        <v/>
      </c>
      <c r="N12" s="437" t="n">
        <v>30</v>
      </c>
    </row>
    <row r="13" ht="17.25" customHeight="1">
      <c r="A13" s="47" t="n"/>
      <c r="B13" s="48" t="n"/>
      <c r="C13" s="39" t="n"/>
      <c r="D13" s="440" t="n"/>
      <c r="E13" s="39" t="n"/>
      <c r="F13" s="40" t="n"/>
      <c r="G13" s="40" t="n"/>
      <c r="H13" s="39" t="n"/>
      <c r="I13" s="438" t="n"/>
      <c r="J13" s="441" t="n"/>
      <c r="K13" s="437" t="n"/>
      <c r="L13" s="437" t="n"/>
      <c r="M13" s="437">
        <f>SUM(K13:L13)</f>
        <v/>
      </c>
      <c r="N13" s="437" t="n"/>
    </row>
    <row r="14" ht="17.25" customHeight="1">
      <c r="A14" s="47" t="n"/>
      <c r="B14" s="48" t="n"/>
      <c r="C14" s="39" t="n"/>
      <c r="D14" s="440" t="n"/>
      <c r="E14" s="39" t="n"/>
      <c r="F14" s="40" t="n"/>
      <c r="G14" s="40" t="n"/>
      <c r="H14" s="39" t="n"/>
      <c r="I14" s="438" t="n"/>
      <c r="J14" s="441" t="n"/>
      <c r="K14" s="437" t="n"/>
      <c r="L14" s="437" t="n"/>
      <c r="M14" s="437">
        <f>SUM(K14:L14)</f>
        <v/>
      </c>
      <c r="N14" s="437" t="n"/>
    </row>
    <row r="15" ht="17.25" customHeight="1">
      <c r="A15" s="45" t="n"/>
      <c r="B15" s="46" t="n"/>
      <c r="C15" s="39" t="n"/>
      <c r="D15" s="454" t="n"/>
      <c r="E15" s="39" t="n"/>
      <c r="F15" s="40" t="n"/>
      <c r="G15" s="40" t="n"/>
      <c r="H15" s="39" t="n"/>
      <c r="I15" s="438" t="n"/>
      <c r="J15" s="441" t="n"/>
      <c r="K15" s="437" t="n"/>
      <c r="L15" s="437" t="n"/>
      <c r="M15" s="437">
        <f>SUM(K15:L15)</f>
        <v/>
      </c>
      <c r="N15" s="437" t="n"/>
    </row>
    <row r="16" ht="17.25" customHeight="1">
      <c r="A16" s="45" t="n"/>
      <c r="B16" s="46" t="n"/>
      <c r="C16" s="39" t="n"/>
      <c r="D16" s="454" t="n"/>
      <c r="E16" s="39" t="n"/>
      <c r="F16" s="40" t="n"/>
      <c r="G16" s="40" t="n"/>
      <c r="H16" s="39" t="n"/>
      <c r="I16" s="438" t="n"/>
      <c r="J16" s="441" t="n"/>
      <c r="K16" s="437" t="n"/>
      <c r="L16" s="437" t="n"/>
      <c r="M16" s="437">
        <f>SUM(K16:L16)</f>
        <v/>
      </c>
      <c r="N16" s="437" t="n"/>
    </row>
    <row r="17" ht="17.25" customHeight="1">
      <c r="A17" s="45" t="n"/>
      <c r="B17" s="46" t="n"/>
      <c r="C17" s="39" t="n"/>
      <c r="D17" s="440" t="n"/>
      <c r="E17" s="39" t="n"/>
      <c r="F17" s="40" t="n"/>
      <c r="G17" s="40" t="n"/>
      <c r="H17" s="39" t="n"/>
      <c r="I17" s="438" t="n"/>
      <c r="J17" s="441" t="n"/>
      <c r="K17" s="437" t="n"/>
      <c r="L17" s="437" t="n"/>
      <c r="M17" s="437">
        <f>SUM(K17:L17)</f>
        <v/>
      </c>
      <c r="N17" s="437" t="n"/>
    </row>
    <row r="18" ht="17.25" customHeight="1">
      <c r="A18" s="51" t="n"/>
      <c r="B18" s="62" t="n"/>
      <c r="C18" s="53" t="n"/>
      <c r="D18" s="53" t="n"/>
      <c r="E18" s="53" t="n"/>
      <c r="F18" s="61" t="n"/>
      <c r="G18" s="61" t="n"/>
      <c r="H18" s="53" t="n"/>
      <c r="I18" s="453" t="n"/>
      <c r="J18" s="455" t="n"/>
      <c r="K18" s="451" t="n"/>
      <c r="L18" s="451" t="n"/>
      <c r="M18" s="437">
        <f>SUM(K18:L18)</f>
        <v/>
      </c>
      <c r="N18" s="437" t="n"/>
    </row>
    <row r="19" ht="17.25" customHeight="1">
      <c r="A19" s="51" t="n"/>
      <c r="B19" s="62" t="n"/>
      <c r="C19" s="53" t="n"/>
      <c r="D19" s="425" t="n"/>
      <c r="E19" s="53" t="n"/>
      <c r="F19" s="61" t="n"/>
      <c r="G19" s="61" t="n"/>
      <c r="H19" s="53" t="n"/>
      <c r="I19" s="453" t="n"/>
      <c r="J19" s="455" t="n"/>
      <c r="K19" s="451" t="n"/>
      <c r="L19" s="451" t="n"/>
      <c r="M19" s="437">
        <f>SUM(K19:L19)</f>
        <v/>
      </c>
      <c r="N19" s="437" t="n"/>
    </row>
    <row r="20" ht="17.25" customHeight="1">
      <c r="A20" s="51" t="n"/>
      <c r="B20" s="62" t="n"/>
      <c r="C20" s="53" t="n"/>
      <c r="D20" s="425" t="n"/>
      <c r="E20" s="53" t="n"/>
      <c r="F20" s="61" t="n"/>
      <c r="G20" s="61" t="n"/>
      <c r="H20" s="53" t="n"/>
      <c r="I20" s="453" t="n"/>
      <c r="J20" s="455" t="n"/>
      <c r="K20" s="451" t="n"/>
      <c r="L20" s="451" t="n"/>
      <c r="M20" s="437">
        <f>SUM(K20:L20)</f>
        <v/>
      </c>
      <c r="N20" s="437" t="n"/>
    </row>
    <row r="21" ht="17.25" customHeight="1">
      <c r="A21" s="51" t="n"/>
      <c r="B21" s="62" t="n"/>
      <c r="C21" s="53" t="n"/>
      <c r="D21" s="425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37">
        <f>SUM(K21:L21)</f>
        <v/>
      </c>
      <c r="N21" s="437" t="n"/>
    </row>
    <row r="22" ht="17.25" customHeight="1">
      <c r="A22" s="51" t="n"/>
      <c r="B22" s="62" t="n"/>
      <c r="C22" s="53" t="n"/>
      <c r="D22" s="425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37">
        <f>SUM(K22:L22)</f>
        <v/>
      </c>
      <c r="N22" s="437" t="n"/>
    </row>
    <row r="23" ht="17.25" customHeight="1">
      <c r="A23" s="51" t="n"/>
      <c r="B23" s="62" t="n"/>
      <c r="C23" s="53" t="n"/>
      <c r="D23" s="456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37">
        <f>SUM(K23:L23)</f>
        <v/>
      </c>
      <c r="N23" s="437" t="n"/>
    </row>
    <row r="24" ht="17.25" customHeight="1">
      <c r="A24" s="51" t="n"/>
      <c r="B24" s="62" t="n"/>
      <c r="C24" s="53" t="n"/>
      <c r="D24" s="53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37">
        <f>SUM(K24:L24)</f>
        <v/>
      </c>
      <c r="N24" s="437" t="n"/>
    </row>
    <row r="25" ht="17.25" customHeight="1">
      <c r="A25" s="51" t="n"/>
      <c r="B25" s="62" t="n"/>
      <c r="C25" s="53" t="n"/>
      <c r="D25" s="425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37">
        <f>SUM(K25:L25)</f>
        <v/>
      </c>
      <c r="N25" s="437" t="n"/>
    </row>
    <row r="26" ht="17.25" customHeight="1">
      <c r="A26" s="51" t="n"/>
      <c r="B26" s="62" t="n"/>
      <c r="C26" s="53" t="n"/>
      <c r="D26" s="476" t="n"/>
      <c r="E26" s="53" t="n"/>
      <c r="F26" s="61" t="n"/>
      <c r="G26" s="61" t="n"/>
      <c r="H26" s="53" t="n"/>
      <c r="I26" s="453" t="n"/>
      <c r="J26" s="455" t="n"/>
      <c r="K26" s="451" t="n"/>
      <c r="L26" s="451" t="n"/>
      <c r="M26" s="437">
        <f>SUM(K26:L26)</f>
        <v/>
      </c>
      <c r="N26" s="437" t="n"/>
    </row>
    <row r="27" ht="17.25" customHeight="1">
      <c r="A27" s="51" t="n"/>
      <c r="B27" s="62" t="n"/>
      <c r="C27" s="53" t="n"/>
      <c r="D27" s="425" t="n"/>
      <c r="E27" s="53" t="n"/>
      <c r="F27" s="61" t="n"/>
      <c r="G27" s="61" t="n"/>
      <c r="H27" s="53" t="n"/>
      <c r="I27" s="453" t="n"/>
      <c r="J27" s="455" t="n"/>
      <c r="K27" s="451" t="n"/>
      <c r="L27" s="451" t="n"/>
      <c r="M27" s="437">
        <f>SUM(K27:L27)</f>
        <v/>
      </c>
      <c r="N27" s="437" t="n"/>
    </row>
    <row r="28" ht="17.25" customHeight="1">
      <c r="A28" s="51" t="n"/>
      <c r="B28" s="62" t="n"/>
      <c r="C28" s="53" t="n"/>
      <c r="D28" s="9" t="n"/>
      <c r="E28" s="53" t="n"/>
      <c r="F28" s="61" t="n"/>
      <c r="G28" s="61" t="n"/>
      <c r="H28" s="53" t="n"/>
      <c r="I28" s="453" t="n"/>
      <c r="J28" s="455" t="n"/>
      <c r="K28" s="451" t="n"/>
      <c r="L28" s="451" t="n"/>
      <c r="M28" s="437">
        <f>SUM(K28:L28)</f>
        <v/>
      </c>
      <c r="N28" s="437" t="n"/>
    </row>
    <row r="29">
      <c r="A29" s="51" t="n"/>
      <c r="B29" s="62" t="n"/>
      <c r="C29" s="53" t="n"/>
      <c r="D29" s="425" t="n"/>
      <c r="E29" s="53" t="n"/>
      <c r="F29" s="61" t="n"/>
      <c r="G29" s="61" t="n"/>
      <c r="H29" s="53" t="n"/>
      <c r="I29" s="453" t="n"/>
      <c r="J29" s="455" t="n"/>
      <c r="K29" s="451" t="n"/>
      <c r="L29" s="451" t="n"/>
      <c r="M29" s="437">
        <f>SUM(K29:L29)</f>
        <v/>
      </c>
      <c r="N29" s="437" t="n"/>
    </row>
    <row r="30">
      <c r="A30" s="51" t="n"/>
      <c r="B30" s="62" t="n"/>
      <c r="C30" s="53" t="n"/>
      <c r="D30" s="425" t="n"/>
      <c r="E30" s="53" t="n"/>
      <c r="F30" s="61" t="n"/>
      <c r="G30" s="61" t="n"/>
      <c r="H30" s="53" t="n"/>
      <c r="I30" s="453" t="n"/>
      <c r="J30" s="455" t="n"/>
      <c r="K30" s="451" t="n"/>
      <c r="L30" s="451" t="n"/>
      <c r="M30" s="437">
        <f>SUM(K30:L30)</f>
        <v/>
      </c>
      <c r="N30" s="437" t="n"/>
    </row>
    <row r="31">
      <c r="A31" s="51" t="n"/>
      <c r="B31" s="62" t="n"/>
      <c r="C31" s="53" t="n"/>
      <c r="D31" s="456" t="n"/>
      <c r="E31" s="10" t="n"/>
      <c r="F31" s="61" t="n"/>
      <c r="G31" s="61" t="n"/>
      <c r="H31" s="10" t="n"/>
      <c r="I31" s="461" t="n"/>
      <c r="J31" s="458" t="n"/>
      <c r="K31" s="459" t="n"/>
      <c r="L31" s="459" t="n"/>
      <c r="M31" s="437">
        <f>SUM(K31:L31)</f>
        <v/>
      </c>
      <c r="N31" s="437" t="n"/>
    </row>
    <row r="32">
      <c r="A32" s="14" t="n"/>
      <c r="B32" s="15" t="n"/>
      <c r="C32" s="10" t="n"/>
      <c r="D32" s="425" t="n"/>
      <c r="E32" s="10" t="n"/>
      <c r="F32" s="61" t="n"/>
      <c r="G32" s="61" t="n"/>
      <c r="H32" s="10" t="n"/>
      <c r="I32" s="461" t="n"/>
      <c r="J32" s="458" t="n"/>
      <c r="K32" s="459" t="n"/>
      <c r="L32" s="459" t="n"/>
      <c r="M32" s="437">
        <f>SUM(K32:L32)</f>
        <v/>
      </c>
      <c r="N32" s="437" t="n"/>
    </row>
    <row r="33">
      <c r="A33" s="14" t="n"/>
      <c r="B33" s="15" t="n"/>
      <c r="C33" s="10" t="n"/>
      <c r="D33" s="460" t="n"/>
      <c r="E33" s="10" t="n"/>
      <c r="F33" s="61" t="n"/>
      <c r="G33" s="61" t="n"/>
      <c r="H33" s="10" t="n"/>
      <c r="I33" s="461" t="n"/>
      <c r="J33" s="458" t="n"/>
      <c r="K33" s="459" t="n"/>
      <c r="L33" s="459" t="n"/>
      <c r="M33" s="437">
        <f>SUM(K33:L33)</f>
        <v/>
      </c>
      <c r="N33" s="437" t="n"/>
    </row>
    <row r="34">
      <c r="A34" s="14" t="n"/>
      <c r="B34" s="15" t="n"/>
      <c r="C34" s="10" t="n"/>
      <c r="D34" s="460" t="n"/>
      <c r="E34" s="10" t="n"/>
      <c r="F34" s="61" t="n"/>
      <c r="G34" s="61" t="n"/>
      <c r="H34" s="10" t="n"/>
      <c r="I34" s="461" t="n"/>
      <c r="J34" s="458" t="n"/>
      <c r="K34" s="459" t="n"/>
      <c r="L34" s="459" t="n"/>
      <c r="M34" s="437">
        <f>SUM(K34:L34)</f>
        <v/>
      </c>
      <c r="N34" s="437" t="n"/>
    </row>
    <row r="35">
      <c r="A35" s="14" t="n"/>
      <c r="B35" s="15" t="n"/>
      <c r="C35" s="10" t="n"/>
      <c r="D35" s="425" t="n"/>
      <c r="E35" s="10" t="n"/>
      <c r="F35" s="61" t="n"/>
      <c r="G35" s="61" t="n"/>
      <c r="H35" s="10" t="n"/>
      <c r="I35" s="461" t="n"/>
      <c r="J35" s="458" t="n"/>
      <c r="K35" s="459" t="n"/>
      <c r="L35" s="459" t="n"/>
      <c r="M35" s="437">
        <f>SUM(K35:L35)</f>
        <v/>
      </c>
      <c r="N35" s="437" t="n"/>
    </row>
    <row r="36">
      <c r="A36" s="17" t="n"/>
      <c r="B36" s="18" t="n"/>
      <c r="C36" s="10" t="n"/>
      <c r="D36" s="452" t="n"/>
      <c r="E36" s="10" t="n"/>
      <c r="F36" s="61" t="n"/>
      <c r="G36" s="61" t="n"/>
      <c r="H36" s="10" t="n"/>
      <c r="I36" s="461" t="n"/>
      <c r="J36" s="458" t="n"/>
      <c r="K36" s="459" t="n"/>
      <c r="L36" s="459" t="n"/>
      <c r="M36" s="451" t="n"/>
      <c r="N36" s="437" t="n"/>
    </row>
    <row r="37">
      <c r="A37" s="17" t="n"/>
      <c r="B37" s="18" t="n"/>
      <c r="C37" s="10" t="n"/>
      <c r="D37" s="452" t="n"/>
      <c r="E37" s="10" t="n"/>
      <c r="F37" s="61" t="n"/>
      <c r="G37" s="61" t="n"/>
      <c r="H37" s="10" t="n"/>
      <c r="I37" s="461" t="n"/>
      <c r="J37" s="458" t="n"/>
      <c r="K37" s="459" t="n"/>
      <c r="L37" s="459" t="n"/>
      <c r="M37" s="451" t="n"/>
      <c r="N37" s="437" t="n"/>
    </row>
    <row r="38">
      <c r="A38" s="17" t="n"/>
      <c r="B38" s="18" t="n"/>
      <c r="C38" s="10" t="n"/>
      <c r="D38" s="452" t="n"/>
      <c r="E38" s="10" t="n"/>
      <c r="F38" s="61" t="n"/>
      <c r="G38" s="61" t="n"/>
      <c r="H38" s="10" t="n"/>
      <c r="I38" s="461" t="n"/>
      <c r="J38" s="458" t="n"/>
      <c r="K38" s="459" t="n"/>
      <c r="L38" s="459" t="n"/>
      <c r="M38" s="451" t="n"/>
      <c r="N38" s="437" t="n"/>
    </row>
    <row r="39">
      <c r="A39" s="51" t="n"/>
      <c r="B39" s="62" t="n"/>
      <c r="C39" s="53" t="n"/>
      <c r="D39" s="425" t="n"/>
      <c r="E39" s="53" t="n"/>
      <c r="F39" s="62" t="n"/>
      <c r="G39" s="62" t="n"/>
      <c r="H39" s="53" t="n"/>
      <c r="I39" s="453" t="n"/>
      <c r="J39" s="455" t="n"/>
      <c r="K39" s="451" t="n"/>
      <c r="L39" s="451" t="n"/>
      <c r="M39" s="451" t="n"/>
      <c r="N39" s="437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9" t="n"/>
      <c r="K40" s="470" t="n"/>
      <c r="L40" s="470" t="n"/>
      <c r="M40" s="472">
        <f>SUM(M2:M39)</f>
        <v/>
      </c>
      <c r="N40" s="472">
        <f>SUM(N2:N39)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9" t="n"/>
      <c r="K41" s="470" t="n"/>
      <c r="L41" s="470" t="n"/>
      <c r="M41" s="473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9" t="n"/>
      <c r="K42" s="470" t="n"/>
      <c r="L42" s="47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4"/>
  <sheetViews>
    <sheetView topLeftCell="A20" zoomScale="90" zoomScaleNormal="90" workbookViewId="0">
      <selection activeCell="D6" sqref="D6"/>
    </sheetView>
  </sheetViews>
  <sheetFormatPr baseColWidth="8" defaultColWidth="8.75" defaultRowHeight="15"/>
  <cols>
    <col width="11.5" customWidth="1" style="29" min="1" max="1"/>
    <col width="60.25" customWidth="1" min="3" max="3"/>
    <col width="30" customWidth="1" min="4" max="4"/>
    <col width="9" bestFit="1" customWidth="1" min="5" max="7"/>
    <col width="11.5" bestFit="1" customWidth="1" min="8" max="8"/>
    <col width="9.5" customWidth="1" min="9" max="9"/>
    <col width="31.875" customWidth="1" style="423" min="10" max="10"/>
    <col width="9" bestFit="1" customWidth="1" style="424" min="11" max="12"/>
    <col width="15.125" customWidth="1" style="424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5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Format="1" customHeight="1" s="132">
      <c r="A2" s="163" t="inlineStr">
        <is>
          <t>544416</t>
        </is>
      </c>
      <c r="B2" s="120" t="n">
        <v>0.6111111111111112</v>
      </c>
      <c r="C2" s="200" t="inlineStr">
        <is>
          <t>Cordis &gt; ap</t>
        </is>
      </c>
      <c r="D2" s="39" t="inlineStr">
        <is>
          <t>Keith CK9898 9888 0261</t>
        </is>
      </c>
      <c r="E2" s="158" t="inlineStr">
        <is>
          <t>Done</t>
        </is>
      </c>
      <c r="F2" s="113" t="n">
        <v>0.6513888888888889</v>
      </c>
      <c r="G2" s="113" t="n">
        <v>0.6722222222222223</v>
      </c>
      <c r="H2" s="93" t="n"/>
      <c r="I2" s="433" t="n"/>
      <c r="J2" s="441" t="n"/>
      <c r="K2" s="437" t="n"/>
      <c r="L2" s="436" t="n">
        <v>400</v>
      </c>
      <c r="M2" s="437">
        <f>SUM(K2:L2)</f>
        <v/>
      </c>
      <c r="N2" s="437" t="n">
        <v>30</v>
      </c>
      <c r="O2" s="144" t="n"/>
      <c r="P2" s="253" t="n"/>
    </row>
    <row r="3" ht="17.25" customFormat="1" customHeight="1" s="132">
      <c r="A3" s="163" t="inlineStr">
        <is>
          <t>544479</t>
        </is>
      </c>
      <c r="B3" s="120" t="n">
        <v>0.78125</v>
      </c>
      <c r="C3" s="200" t="inlineStr">
        <is>
          <t>CX 254 -T S T</t>
        </is>
      </c>
      <c r="D3" s="432" t="inlineStr">
        <is>
          <t>Stanley LJ9800 9828 6100</t>
        </is>
      </c>
      <c r="E3" s="158" t="inlineStr">
        <is>
          <t>Done</t>
        </is>
      </c>
      <c r="F3" s="113" t="n">
        <v>0.7916666666666666</v>
      </c>
      <c r="G3" s="113" t="n">
        <v>0.8125</v>
      </c>
      <c r="H3" s="93" t="n"/>
      <c r="I3" s="433" t="n"/>
      <c r="J3" s="441" t="inlineStr">
        <is>
          <t>P $35</t>
        </is>
      </c>
      <c r="K3" s="437" t="n">
        <v>35</v>
      </c>
      <c r="L3" s="436" t="n">
        <v>400</v>
      </c>
      <c r="M3" s="437">
        <f>SUM(K3:L3)</f>
        <v/>
      </c>
      <c r="N3" s="437" t="n">
        <v>30</v>
      </c>
      <c r="O3" s="144" t="n"/>
      <c r="P3" s="253" t="n"/>
    </row>
    <row r="4" ht="17.25" customFormat="1" customHeight="1" s="132">
      <c r="A4" s="163" t="inlineStr">
        <is>
          <t>544423</t>
        </is>
      </c>
      <c r="B4" s="120" t="n">
        <v>0.8506944444444444</v>
      </c>
      <c r="C4" s="158" t="inlineStr">
        <is>
          <t>QY516 &gt; Cordis</t>
        </is>
      </c>
      <c r="D4" s="101" t="inlineStr">
        <is>
          <t>Stanley LJ9800 9828 6100</t>
        </is>
      </c>
      <c r="E4" s="158" t="inlineStr">
        <is>
          <t>Done</t>
        </is>
      </c>
      <c r="F4" s="113" t="n">
        <v>0.9166666666666666</v>
      </c>
      <c r="G4" s="113" t="n">
        <v>0.9375</v>
      </c>
      <c r="H4" s="93" t="n"/>
      <c r="I4" s="433" t="n"/>
      <c r="J4" s="441" t="inlineStr">
        <is>
          <t>P $35</t>
        </is>
      </c>
      <c r="K4" s="437" t="n">
        <v>35</v>
      </c>
      <c r="L4" s="436" t="n">
        <v>400</v>
      </c>
      <c r="M4" s="437">
        <f>SUM(K4:L4)</f>
        <v/>
      </c>
      <c r="N4" s="437" t="n">
        <v>30</v>
      </c>
      <c r="O4" s="144" t="n"/>
      <c r="P4" s="144" t="n"/>
    </row>
    <row r="5" ht="17.25" customFormat="1" customHeight="1" s="132">
      <c r="A5" s="163" t="inlineStr">
        <is>
          <t>544423</t>
        </is>
      </c>
      <c r="B5" s="120" t="n">
        <v>0.8506944444444444</v>
      </c>
      <c r="C5" s="158" t="inlineStr">
        <is>
          <t>QY516 &gt; Cordis</t>
        </is>
      </c>
      <c r="D5" s="101" t="inlineStr">
        <is>
          <t>Ivan FN655 9261 2485</t>
        </is>
      </c>
      <c r="E5" s="158" t="inlineStr">
        <is>
          <t>Done</t>
        </is>
      </c>
      <c r="F5" s="113" t="n">
        <v>0.9166666666666666</v>
      </c>
      <c r="G5" s="113" t="n">
        <v>0.9375</v>
      </c>
      <c r="H5" s="93" t="n"/>
      <c r="I5" s="433" t="n"/>
      <c r="J5" s="441" t="inlineStr">
        <is>
          <t>P $35</t>
        </is>
      </c>
      <c r="K5" s="437" t="n">
        <v>35</v>
      </c>
      <c r="L5" s="436" t="n">
        <v>400</v>
      </c>
      <c r="M5" s="437">
        <f>SUM(K5:L5)</f>
        <v/>
      </c>
      <c r="N5" s="437" t="n">
        <v>30</v>
      </c>
      <c r="O5" s="144" t="n"/>
      <c r="P5" s="144" t="n"/>
    </row>
    <row r="6" ht="17.25" customFormat="1" customHeight="1" s="132">
      <c r="A6" s="163" t="inlineStr">
        <is>
          <t>544423</t>
        </is>
      </c>
      <c r="B6" s="120" t="n">
        <v>0.8506944444444444</v>
      </c>
      <c r="C6" s="158" t="inlineStr">
        <is>
          <t>QY516 &gt; Cordis</t>
        </is>
      </c>
      <c r="D6" s="101" t="inlineStr">
        <is>
          <t>Fung TG1211 9803 6203</t>
        </is>
      </c>
      <c r="E6" s="158" t="inlineStr">
        <is>
          <t>Done</t>
        </is>
      </c>
      <c r="F6" s="113" t="n">
        <v>0.9166666666666666</v>
      </c>
      <c r="G6" s="113" t="n">
        <v>0.9375</v>
      </c>
      <c r="H6" s="93" t="n"/>
      <c r="I6" s="433" t="n"/>
      <c r="J6" s="441" t="inlineStr">
        <is>
          <t>P $35</t>
        </is>
      </c>
      <c r="K6" s="437" t="n">
        <v>35</v>
      </c>
      <c r="L6" s="436" t="n">
        <v>400</v>
      </c>
      <c r="M6" s="437">
        <f>SUM(K6:L6)</f>
        <v/>
      </c>
      <c r="N6" s="437" t="n">
        <v>30</v>
      </c>
      <c r="O6" s="144" t="n"/>
      <c r="P6" s="144" t="n"/>
    </row>
    <row r="7" ht="17.25" customFormat="1" customHeight="1" s="112">
      <c r="A7" s="214" t="n"/>
      <c r="B7" s="100" t="n"/>
      <c r="C7" s="101" t="n"/>
      <c r="D7" s="101" t="n"/>
      <c r="E7" s="158" t="n"/>
      <c r="F7" s="40" t="n"/>
      <c r="G7" s="40" t="n"/>
      <c r="H7" s="39" t="n"/>
      <c r="I7" s="438" t="n"/>
      <c r="J7" s="446" t="n"/>
      <c r="K7" s="447" t="n"/>
      <c r="L7" s="477" t="n"/>
      <c r="M7" s="437">
        <f>SUM(K7:L7)</f>
        <v/>
      </c>
      <c r="N7" s="437" t="n">
        <v>30</v>
      </c>
    </row>
    <row r="8" ht="17.25" customFormat="1" customHeight="1" s="112">
      <c r="A8" s="45" t="n"/>
      <c r="B8" s="46" t="n"/>
      <c r="C8" s="93" t="n"/>
      <c r="D8" s="101" t="n"/>
      <c r="E8" s="93" t="n"/>
      <c r="F8" s="113" t="n"/>
      <c r="G8" s="113" t="n"/>
      <c r="H8" s="39" t="n"/>
      <c r="I8" s="438" t="n"/>
      <c r="J8" s="446" t="n"/>
      <c r="K8" s="474" t="n"/>
      <c r="L8" s="437" t="n"/>
      <c r="M8" s="437">
        <f>SUM(K8:L8)</f>
        <v/>
      </c>
      <c r="N8" s="437" t="n">
        <v>30</v>
      </c>
    </row>
    <row r="9" ht="17.25" customFormat="1" customHeight="1" s="112">
      <c r="A9" s="45" t="n"/>
      <c r="B9" s="46" t="n"/>
      <c r="C9" s="93" t="n"/>
      <c r="D9" s="440" t="n"/>
      <c r="E9" s="93" t="n"/>
      <c r="F9" s="40" t="n"/>
      <c r="G9" s="40" t="n"/>
      <c r="H9" s="39" t="n"/>
      <c r="I9" s="438" t="n"/>
      <c r="J9" s="442" t="n"/>
      <c r="K9" s="443" t="n"/>
      <c r="L9" s="444" t="n"/>
      <c r="M9" s="437">
        <f>SUM(K9:L9)</f>
        <v/>
      </c>
      <c r="N9" s="437" t="n">
        <v>30</v>
      </c>
    </row>
    <row r="10" ht="17.25" customFormat="1" customHeight="1" s="112">
      <c r="A10" s="45" t="n"/>
      <c r="B10" s="46" t="n"/>
      <c r="C10" s="93" t="n"/>
      <c r="D10" s="440" t="n"/>
      <c r="E10" s="93" t="n"/>
      <c r="F10" s="40" t="n"/>
      <c r="G10" s="40" t="n"/>
      <c r="H10" s="39" t="n"/>
      <c r="I10" s="438" t="n"/>
      <c r="J10" s="442" t="n"/>
      <c r="K10" s="443" t="n"/>
      <c r="L10" s="444" t="n"/>
      <c r="M10" s="437">
        <f>SUM(K10:L10)</f>
        <v/>
      </c>
      <c r="N10" s="437" t="n">
        <v>30</v>
      </c>
    </row>
    <row r="11" ht="17.25" customFormat="1" customHeight="1" s="112">
      <c r="A11" s="45" t="n"/>
      <c r="B11" s="46" t="n"/>
      <c r="C11" s="93" t="n"/>
      <c r="D11" s="440" t="n"/>
      <c r="E11" s="93" t="n"/>
      <c r="F11" s="40" t="n"/>
      <c r="G11" s="40" t="n"/>
      <c r="H11" s="39" t="n"/>
      <c r="I11" s="438" t="n"/>
      <c r="J11" s="442" t="n"/>
      <c r="K11" s="443" t="n"/>
      <c r="L11" s="444" t="n"/>
      <c r="M11" s="437">
        <f>SUM(K11:L11)</f>
        <v/>
      </c>
      <c r="N11" s="437" t="n">
        <v>30</v>
      </c>
    </row>
    <row r="12" ht="17.25" customFormat="1" customHeight="1" s="6">
      <c r="A12" s="47" t="n"/>
      <c r="B12" s="48" t="n"/>
      <c r="C12" s="39" t="n"/>
      <c r="D12" s="440" t="n"/>
      <c r="E12" s="39" t="n"/>
      <c r="F12" s="40" t="n"/>
      <c r="G12" s="40" t="n"/>
      <c r="H12" s="39" t="n"/>
      <c r="I12" s="438" t="n"/>
      <c r="J12" s="441" t="n"/>
      <c r="K12" s="437" t="n"/>
      <c r="L12" s="436" t="n"/>
      <c r="M12" s="437" t="n"/>
      <c r="N12" s="437" t="n"/>
    </row>
    <row r="13" ht="17.25" customHeight="1">
      <c r="A13" s="91" t="n"/>
      <c r="B13" s="48" t="n"/>
      <c r="C13" s="39" t="n"/>
      <c r="D13" s="440" t="n"/>
      <c r="E13" s="39" t="n"/>
      <c r="F13" s="40" t="n"/>
      <c r="G13" s="40" t="n"/>
      <c r="H13" s="39" t="n"/>
      <c r="I13" s="438" t="n"/>
      <c r="J13" s="441" t="n"/>
      <c r="K13" s="437" t="n"/>
      <c r="L13" s="436" t="n"/>
      <c r="M13" s="437" t="n"/>
      <c r="N13" s="437" t="n"/>
    </row>
    <row r="14" ht="17.25" customHeight="1">
      <c r="A14" s="45" t="n"/>
      <c r="B14" s="48" t="n"/>
      <c r="C14" s="39" t="n"/>
      <c r="D14" s="440" t="n"/>
      <c r="E14" s="39" t="n"/>
      <c r="F14" s="40" t="n"/>
      <c r="G14" s="40" t="n"/>
      <c r="H14" s="449" t="n"/>
      <c r="I14" s="438" t="n"/>
      <c r="J14" s="441" t="n"/>
      <c r="K14" s="437" t="n"/>
      <c r="L14" s="436" t="n"/>
      <c r="M14" s="437" t="n"/>
      <c r="N14" s="437" t="n"/>
    </row>
    <row r="15" ht="17.25" customHeight="1">
      <c r="A15" s="59" t="n"/>
      <c r="B15" s="52" t="n"/>
      <c r="C15" s="53" t="n"/>
      <c r="D15" s="452" t="n"/>
      <c r="E15" s="53" t="n"/>
      <c r="F15" s="54" t="n"/>
      <c r="G15" s="54" t="n"/>
      <c r="H15" s="53" t="n"/>
      <c r="I15" s="453" t="n"/>
      <c r="J15" s="455" t="n"/>
      <c r="K15" s="451" t="n"/>
      <c r="L15" s="478" t="n"/>
      <c r="M15" s="451" t="n"/>
      <c r="N15" s="437" t="n"/>
    </row>
    <row r="16">
      <c r="A16" s="45" t="n"/>
      <c r="B16" s="48" t="n"/>
      <c r="C16" s="39" t="n"/>
      <c r="D16" s="440" t="n"/>
      <c r="E16" s="39" t="n"/>
      <c r="F16" s="40" t="n"/>
      <c r="G16" s="40" t="n"/>
      <c r="H16" s="53" t="n"/>
      <c r="I16" s="438" t="n"/>
      <c r="J16" s="441" t="n"/>
      <c r="K16" s="437" t="n"/>
      <c r="L16" s="436" t="n"/>
      <c r="M16" s="451" t="n"/>
      <c r="N16" s="437" t="n"/>
    </row>
    <row r="17">
      <c r="A17" s="45" t="n"/>
      <c r="B17" s="46" t="n"/>
      <c r="C17" s="39" t="n"/>
      <c r="D17" s="454" t="n"/>
      <c r="E17" s="39" t="n"/>
      <c r="F17" s="40" t="n"/>
      <c r="G17" s="40" t="n"/>
      <c r="H17" s="53" t="n"/>
      <c r="I17" s="438" t="n"/>
      <c r="J17" s="441" t="n"/>
      <c r="K17" s="437" t="n"/>
      <c r="L17" s="436" t="n"/>
      <c r="M17" s="451" t="n"/>
      <c r="N17" s="437" t="n"/>
    </row>
    <row r="18">
      <c r="A18" s="47" t="n"/>
      <c r="B18" s="48" t="n"/>
      <c r="C18" s="39" t="n"/>
      <c r="D18" s="454" t="n"/>
      <c r="E18" s="39" t="n"/>
      <c r="F18" s="40" t="n"/>
      <c r="G18" s="40" t="n"/>
      <c r="H18" s="53" t="n"/>
      <c r="I18" s="438" t="n"/>
      <c r="J18" s="441" t="n"/>
      <c r="K18" s="437" t="n"/>
      <c r="L18" s="436" t="n"/>
      <c r="M18" s="451" t="n"/>
      <c r="N18" s="437" t="n"/>
    </row>
    <row r="19">
      <c r="A19" s="45" t="n"/>
      <c r="B19" s="46" t="n"/>
      <c r="C19" s="39" t="n"/>
      <c r="D19" s="440" t="n"/>
      <c r="E19" s="39" t="n"/>
      <c r="F19" s="40" t="n"/>
      <c r="G19" s="40" t="n"/>
      <c r="H19" s="53" t="n"/>
      <c r="I19" s="438" t="n"/>
      <c r="J19" s="441" t="n"/>
      <c r="K19" s="437" t="n"/>
      <c r="L19" s="437" t="n"/>
      <c r="M19" s="451" t="n"/>
      <c r="N19" s="437" t="n"/>
    </row>
    <row r="20">
      <c r="A20" s="1" t="n"/>
      <c r="B20" s="8" t="n"/>
      <c r="C20" s="53" t="n"/>
      <c r="D20" s="425" t="n"/>
      <c r="E20" s="53" t="n"/>
      <c r="F20" s="61" t="n"/>
      <c r="G20" s="61" t="n"/>
      <c r="H20" s="53" t="n"/>
      <c r="I20" s="453" t="n"/>
      <c r="J20" s="455" t="n"/>
      <c r="K20" s="451" t="n"/>
      <c r="L20" s="451" t="n"/>
      <c r="M20" s="451" t="n"/>
      <c r="N20" s="437" t="n"/>
    </row>
    <row r="21">
      <c r="A21" s="51" t="n"/>
      <c r="B21" s="62" t="n"/>
      <c r="C21" s="53" t="n"/>
      <c r="D21" s="425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51" t="n"/>
      <c r="N21" s="437" t="n"/>
    </row>
    <row r="22">
      <c r="A22" s="51" t="n"/>
      <c r="B22" s="62" t="n"/>
      <c r="C22" s="53" t="n"/>
      <c r="D22" s="425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51" t="n"/>
      <c r="N22" s="437" t="n"/>
    </row>
    <row r="23">
      <c r="A23" s="51" t="n"/>
      <c r="B23" s="62" t="n"/>
      <c r="C23" s="53" t="n"/>
      <c r="D23" s="425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51" t="n"/>
      <c r="N23" s="437" t="n"/>
    </row>
    <row r="24">
      <c r="A24" s="51" t="n"/>
      <c r="B24" s="62" t="n"/>
      <c r="C24" s="53" t="n"/>
      <c r="D24" s="425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51" t="n"/>
      <c r="N24" s="437" t="n"/>
    </row>
    <row r="25">
      <c r="A25" s="51" t="n"/>
      <c r="B25" s="62" t="n"/>
      <c r="C25" s="53" t="n"/>
      <c r="D25" s="456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51" t="n"/>
      <c r="N25" s="437" t="n"/>
    </row>
    <row r="26">
      <c r="A26" s="51" t="n"/>
      <c r="B26" s="62" t="n"/>
      <c r="C26" s="53" t="n"/>
      <c r="D26" s="53" t="n"/>
      <c r="E26" s="53" t="n"/>
      <c r="F26" s="61" t="n"/>
      <c r="G26" s="61" t="n"/>
      <c r="H26" s="53" t="n"/>
      <c r="I26" s="453" t="n"/>
      <c r="J26" s="455" t="n"/>
      <c r="K26" s="451" t="n"/>
      <c r="L26" s="451" t="n"/>
      <c r="M26" s="451" t="n"/>
      <c r="N26" s="437" t="n"/>
    </row>
    <row r="27">
      <c r="A27" s="51" t="n"/>
      <c r="B27" s="62" t="n"/>
      <c r="C27" s="53" t="n"/>
      <c r="D27" s="425" t="n"/>
      <c r="E27" s="53" t="n"/>
      <c r="F27" s="61" t="n"/>
      <c r="G27" s="61" t="n"/>
      <c r="H27" s="53" t="n"/>
      <c r="I27" s="453" t="n"/>
      <c r="J27" s="455" t="n"/>
      <c r="K27" s="451" t="n"/>
      <c r="L27" s="451" t="n"/>
      <c r="M27" s="451" t="n"/>
      <c r="N27" s="437" t="n"/>
    </row>
    <row r="28">
      <c r="A28" s="51" t="n"/>
      <c r="B28" s="62" t="n"/>
      <c r="C28" s="53" t="n"/>
      <c r="D28" s="476" t="n"/>
      <c r="E28" s="53" t="n"/>
      <c r="F28" s="61" t="n"/>
      <c r="G28" s="61" t="n"/>
      <c r="H28" s="53" t="n"/>
      <c r="I28" s="453" t="n"/>
      <c r="J28" s="455" t="n"/>
      <c r="K28" s="451" t="n"/>
      <c r="L28" s="451" t="n"/>
      <c r="M28" s="451" t="n"/>
      <c r="N28" s="437" t="n"/>
    </row>
    <row r="29">
      <c r="A29" s="51" t="n"/>
      <c r="B29" s="62" t="n"/>
      <c r="C29" s="53" t="n"/>
      <c r="D29" s="425" t="n"/>
      <c r="E29" s="53" t="n"/>
      <c r="F29" s="61" t="n"/>
      <c r="G29" s="61" t="n"/>
      <c r="H29" s="53" t="n"/>
      <c r="I29" s="453" t="n"/>
      <c r="J29" s="455" t="n"/>
      <c r="K29" s="451" t="n"/>
      <c r="L29" s="451" t="n"/>
      <c r="M29" s="451" t="n"/>
      <c r="N29" s="437" t="n"/>
    </row>
    <row r="30">
      <c r="A30" s="51" t="n"/>
      <c r="B30" s="62" t="n"/>
      <c r="C30" s="53" t="n"/>
      <c r="D30" s="9" t="n"/>
      <c r="E30" s="53" t="n"/>
      <c r="F30" s="61" t="n"/>
      <c r="G30" s="61" t="n"/>
      <c r="H30" s="53" t="n"/>
      <c r="I30" s="453" t="n"/>
      <c r="J30" s="455" t="n"/>
      <c r="K30" s="451" t="n"/>
      <c r="L30" s="451" t="n"/>
      <c r="M30" s="451" t="n"/>
      <c r="N30" s="437" t="n"/>
    </row>
    <row r="31">
      <c r="A31" s="51" t="n"/>
      <c r="B31" s="62" t="n"/>
      <c r="C31" s="53" t="n"/>
      <c r="D31" s="425" t="n"/>
      <c r="E31" s="53" t="n"/>
      <c r="F31" s="61" t="n"/>
      <c r="G31" s="61" t="n"/>
      <c r="H31" s="53" t="n"/>
      <c r="I31" s="453" t="n"/>
      <c r="J31" s="455" t="n"/>
      <c r="K31" s="451" t="n"/>
      <c r="L31" s="451" t="n"/>
      <c r="M31" s="451" t="n"/>
      <c r="N31" s="437" t="n"/>
    </row>
    <row r="32">
      <c r="A32" s="51" t="n"/>
      <c r="B32" s="62" t="n"/>
      <c r="C32" s="53" t="n"/>
      <c r="D32" s="425" t="n"/>
      <c r="E32" s="53" t="n"/>
      <c r="F32" s="61" t="n"/>
      <c r="G32" s="61" t="n"/>
      <c r="H32" s="53" t="n"/>
      <c r="I32" s="453" t="n"/>
      <c r="J32" s="455" t="n"/>
      <c r="K32" s="451" t="n"/>
      <c r="L32" s="451" t="n"/>
      <c r="M32" s="451" t="n"/>
      <c r="N32" s="437" t="n"/>
    </row>
    <row r="33">
      <c r="A33" s="51" t="n"/>
      <c r="B33" s="62" t="n"/>
      <c r="C33" s="53" t="n"/>
      <c r="D33" s="456" t="n"/>
      <c r="E33" s="10" t="n"/>
      <c r="F33" s="61" t="n"/>
      <c r="G33" s="61" t="n"/>
      <c r="H33" s="10" t="n"/>
      <c r="I33" s="461" t="n"/>
      <c r="J33" s="458" t="n"/>
      <c r="K33" s="459" t="n"/>
      <c r="L33" s="459" t="n"/>
      <c r="M33" s="451" t="n"/>
      <c r="N33" s="437" t="n"/>
    </row>
    <row r="34">
      <c r="A34" s="14" t="n"/>
      <c r="B34" s="15" t="n"/>
      <c r="C34" s="10" t="n"/>
      <c r="D34" s="425" t="n"/>
      <c r="E34" s="10" t="n"/>
      <c r="F34" s="61" t="n"/>
      <c r="G34" s="61" t="n"/>
      <c r="H34" s="10" t="n"/>
      <c r="I34" s="461" t="n"/>
      <c r="J34" s="458" t="n"/>
      <c r="K34" s="459" t="n"/>
      <c r="L34" s="459" t="n"/>
      <c r="M34" s="451" t="n"/>
      <c r="N34" s="437" t="n"/>
    </row>
    <row r="35">
      <c r="A35" s="14" t="n"/>
      <c r="B35" s="15" t="n"/>
      <c r="C35" s="10" t="n"/>
      <c r="D35" s="460" t="n"/>
      <c r="E35" s="10" t="n"/>
      <c r="F35" s="61" t="n"/>
      <c r="G35" s="61" t="n"/>
      <c r="H35" s="10" t="n"/>
      <c r="I35" s="461" t="n"/>
      <c r="J35" s="458" t="n"/>
      <c r="K35" s="459" t="n"/>
      <c r="L35" s="459" t="n"/>
      <c r="M35" s="451" t="n"/>
      <c r="N35" s="437" t="n"/>
    </row>
    <row r="36">
      <c r="A36" s="14" t="n"/>
      <c r="B36" s="15" t="n"/>
      <c r="C36" s="10" t="n"/>
      <c r="D36" s="460" t="n"/>
      <c r="E36" s="10" t="n"/>
      <c r="F36" s="61" t="n"/>
      <c r="G36" s="61" t="n"/>
      <c r="H36" s="10" t="n"/>
      <c r="I36" s="461" t="n"/>
      <c r="J36" s="458" t="n"/>
      <c r="K36" s="459" t="n"/>
      <c r="L36" s="459" t="n"/>
      <c r="M36" s="451" t="n"/>
      <c r="N36" s="437" t="n"/>
    </row>
    <row r="37">
      <c r="A37" s="14" t="n"/>
      <c r="B37" s="15" t="n"/>
      <c r="C37" s="10" t="n"/>
      <c r="D37" s="425" t="n"/>
      <c r="E37" s="10" t="n"/>
      <c r="F37" s="61" t="n"/>
      <c r="G37" s="61" t="n"/>
      <c r="H37" s="10" t="n"/>
      <c r="I37" s="461" t="n"/>
      <c r="J37" s="458" t="n"/>
      <c r="K37" s="459" t="n"/>
      <c r="L37" s="459" t="n"/>
      <c r="M37" s="451" t="n"/>
      <c r="N37" s="437" t="n"/>
    </row>
    <row r="38">
      <c r="A38" s="17" t="n"/>
      <c r="B38" s="18" t="n"/>
      <c r="C38" s="10" t="n"/>
      <c r="D38" s="452" t="n"/>
      <c r="E38" s="10" t="n"/>
      <c r="F38" s="61" t="n"/>
      <c r="G38" s="61" t="n"/>
      <c r="H38" s="10" t="n"/>
      <c r="I38" s="461" t="n"/>
      <c r="J38" s="458" t="n"/>
      <c r="K38" s="459" t="n"/>
      <c r="L38" s="459" t="n"/>
      <c r="M38" s="451" t="n"/>
      <c r="N38" s="437" t="n"/>
    </row>
    <row r="39">
      <c r="A39" s="83" t="n"/>
      <c r="B39" s="84" t="n"/>
      <c r="C39" s="78" t="n"/>
      <c r="D39" s="479" t="n"/>
      <c r="E39" s="78" t="n"/>
      <c r="F39" s="79" t="n"/>
      <c r="G39" s="79" t="n"/>
      <c r="H39" s="78" t="n"/>
      <c r="I39" s="480" t="n"/>
      <c r="J39" s="481" t="n"/>
      <c r="K39" s="482" t="n"/>
      <c r="L39" s="482" t="n"/>
      <c r="M39" s="483" t="n"/>
      <c r="N39" s="484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9" t="n"/>
      <c r="K40" s="470" t="n"/>
      <c r="L40" s="470" t="n"/>
      <c r="M40" s="472">
        <f>SUM(M2:M38)</f>
        <v/>
      </c>
      <c r="N40" s="472">
        <f>SUM(N2:N38)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9" t="n"/>
      <c r="K41" s="470" t="n"/>
      <c r="L41" s="470" t="n"/>
      <c r="M41" s="473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9" t="n"/>
      <c r="K42" s="470" t="n"/>
      <c r="L42" s="47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4"/>
  <sheetViews>
    <sheetView topLeftCell="C18" zoomScale="80" zoomScaleNormal="80" workbookViewId="0">
      <selection activeCell="D8" sqref="D8"/>
    </sheetView>
  </sheetViews>
  <sheetFormatPr baseColWidth="8" defaultColWidth="8.75" defaultRowHeight="15"/>
  <cols>
    <col width="9.875" customWidth="1" style="246" min="1" max="1"/>
    <col width="60.125" customWidth="1" min="3" max="3"/>
    <col width="27.75" customWidth="1" min="4" max="4"/>
    <col width="9" bestFit="1" customWidth="1" min="5" max="7"/>
    <col width="11.5" bestFit="1" customWidth="1" min="8" max="8"/>
    <col width="9.5" customWidth="1" min="9" max="9"/>
    <col width="48.875" customWidth="1" style="423" min="10" max="10"/>
    <col width="9" bestFit="1" customWidth="1" style="424" min="11" max="12"/>
    <col width="15.125" customWidth="1" style="424" min="13" max="13"/>
  </cols>
  <sheetData>
    <row r="1" ht="26.25" customHeight="1">
      <c r="A1" s="9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5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Format="1" customHeight="1" s="112">
      <c r="A2" s="163" t="inlineStr">
        <is>
          <t>544382</t>
        </is>
      </c>
      <c r="B2" s="120" t="n">
        <v>0.28125</v>
      </c>
      <c r="C2" s="200" t="inlineStr">
        <is>
          <t>淺水灣-AP</t>
        </is>
      </c>
      <c r="D2" s="440" t="inlineStr">
        <is>
          <t>Eva TZ9800 9706 2468</t>
        </is>
      </c>
      <c r="E2" s="93" t="inlineStr">
        <is>
          <t>Done</t>
        </is>
      </c>
      <c r="F2" s="113" t="n">
        <v>0.2972222222222222</v>
      </c>
      <c r="G2" s="113" t="n">
        <v>0.3277777777777778</v>
      </c>
      <c r="H2" s="93" t="n"/>
      <c r="I2" s="433" t="n"/>
      <c r="J2" s="441" t="inlineStr">
        <is>
          <t>OT $60 ，南區$60，西隧$40</t>
        </is>
      </c>
      <c r="K2" s="435" t="n">
        <v>160</v>
      </c>
      <c r="L2" s="437" t="n">
        <v>460</v>
      </c>
      <c r="M2" s="451">
        <f>SUM(K2:L2)</f>
        <v/>
      </c>
      <c r="N2" s="437" t="n">
        <v>30</v>
      </c>
    </row>
    <row r="3" ht="17.25" customFormat="1" customHeight="1" s="112">
      <c r="A3" s="145" t="inlineStr">
        <is>
          <t>544642</t>
        </is>
      </c>
      <c r="B3" s="46" t="n">
        <v>0.3715277777777778</v>
      </c>
      <c r="C3" s="93" t="inlineStr">
        <is>
          <t>3V401 &gt; Cordis</t>
        </is>
      </c>
      <c r="D3" s="440" t="inlineStr">
        <is>
          <t>Eva TZ9800 9706 2468</t>
        </is>
      </c>
      <c r="E3" s="103" t="inlineStr">
        <is>
          <t>Done</t>
        </is>
      </c>
      <c r="F3" s="113" t="n">
        <v>0.3909722222222222</v>
      </c>
      <c r="G3" s="113" t="n">
        <v>0.4229166666666667</v>
      </c>
      <c r="H3" s="39" t="n"/>
      <c r="I3" s="438" t="n"/>
      <c r="J3" s="446" t="inlineStr">
        <is>
          <t>P$35</t>
        </is>
      </c>
      <c r="K3" s="447" t="n">
        <v>35</v>
      </c>
      <c r="L3" s="477" t="n">
        <v>400</v>
      </c>
      <c r="M3" s="451">
        <f>SUM(K3:L3)</f>
        <v/>
      </c>
      <c r="N3" s="437" t="n">
        <v>30</v>
      </c>
    </row>
    <row r="4" ht="17.25" customFormat="1" customHeight="1" s="112">
      <c r="A4" s="145" t="inlineStr">
        <is>
          <t>544291</t>
        </is>
      </c>
      <c r="B4" s="130" t="n">
        <v>0.4270833333333333</v>
      </c>
      <c r="C4" s="93" t="inlineStr">
        <is>
          <t>Cordis &gt; AP</t>
        </is>
      </c>
      <c r="D4" s="440" t="inlineStr">
        <is>
          <t>Keith CK9898 9888 0261</t>
        </is>
      </c>
      <c r="E4" s="93" t="inlineStr">
        <is>
          <t>Done</t>
        </is>
      </c>
      <c r="F4" s="113" t="n">
        <v>0.4270833333333333</v>
      </c>
      <c r="G4" s="113" t="n">
        <v>0.4479166666666667</v>
      </c>
      <c r="H4" s="93" t="n"/>
      <c r="I4" s="433" t="n"/>
      <c r="J4" s="485" t="n"/>
      <c r="K4" s="486" t="n"/>
      <c r="L4" s="448" t="n">
        <v>400</v>
      </c>
      <c r="M4" s="451">
        <f>SUM(K4:L4)</f>
        <v/>
      </c>
      <c r="N4" s="437" t="n">
        <v>30</v>
      </c>
    </row>
    <row r="5" ht="17.25" customFormat="1" customHeight="1" s="112">
      <c r="A5" s="145" t="inlineStr">
        <is>
          <t>544291</t>
        </is>
      </c>
      <c r="B5" s="130" t="n">
        <v>0.4270833333333333</v>
      </c>
      <c r="C5" s="93" t="inlineStr">
        <is>
          <t>Cordis &gt; AP</t>
        </is>
      </c>
      <c r="D5" s="440" t="inlineStr">
        <is>
          <t>Chris WW9989 9387 4976</t>
        </is>
      </c>
      <c r="E5" s="93" t="inlineStr">
        <is>
          <t>Done</t>
        </is>
      </c>
      <c r="F5" s="113" t="n">
        <v>0.4270833333333333</v>
      </c>
      <c r="G5" s="113" t="n">
        <v>0.4479166666666667</v>
      </c>
      <c r="H5" s="93" t="n"/>
      <c r="I5" s="433" t="n"/>
      <c r="J5" s="485" t="n"/>
      <c r="K5" s="486" t="n"/>
      <c r="L5" s="448" t="n">
        <v>400</v>
      </c>
      <c r="M5" s="451">
        <f>SUM(K5:L5)</f>
        <v/>
      </c>
      <c r="N5" s="437" t="n">
        <v>30</v>
      </c>
    </row>
    <row r="6" ht="17.25" customFormat="1" customHeight="1" s="112">
      <c r="A6" s="145" t="inlineStr">
        <is>
          <t>544291</t>
        </is>
      </c>
      <c r="B6" s="130" t="n">
        <v>0.4270833333333333</v>
      </c>
      <c r="C6" s="93" t="inlineStr">
        <is>
          <t>Cordis &gt; AP</t>
        </is>
      </c>
      <c r="D6" s="440" t="inlineStr">
        <is>
          <t>Rayon TS4639 95166822</t>
        </is>
      </c>
      <c r="E6" s="93" t="inlineStr">
        <is>
          <t>Done</t>
        </is>
      </c>
      <c r="F6" s="113" t="n">
        <v>0.4270833333333333</v>
      </c>
      <c r="G6" s="113" t="n">
        <v>0.4479166666666667</v>
      </c>
      <c r="H6" s="93" t="n"/>
      <c r="I6" s="433" t="n"/>
      <c r="J6" s="485" t="n"/>
      <c r="K6" s="486" t="n"/>
      <c r="L6" s="448" t="n">
        <v>400</v>
      </c>
      <c r="M6" s="451">
        <f>SUM(K6:L6)</f>
        <v/>
      </c>
      <c r="N6" s="437" t="n">
        <v>30</v>
      </c>
    </row>
    <row r="7" ht="17.25" customFormat="1" customHeight="1" s="112">
      <c r="A7" s="91" t="inlineStr">
        <is>
          <t>544767</t>
        </is>
      </c>
      <c r="B7" s="48" t="n">
        <v>0.4791666666666667</v>
      </c>
      <c r="C7" s="200" t="inlineStr">
        <is>
          <t>Cordis &gt; AP</t>
        </is>
      </c>
      <c r="D7" s="440" t="inlineStr">
        <is>
          <t>Keith CK9898 9888 0261</t>
        </is>
      </c>
      <c r="E7" s="39" t="inlineStr">
        <is>
          <t>Done</t>
        </is>
      </c>
      <c r="F7" s="40" t="n">
        <v>0.4826388888888889</v>
      </c>
      <c r="G7" s="40" t="n">
        <v>0.5013888888888889</v>
      </c>
      <c r="H7" s="39" t="n"/>
      <c r="I7" s="438" t="n"/>
      <c r="J7" s="441" t="n"/>
      <c r="K7" s="437" t="n"/>
      <c r="L7" s="436" t="n">
        <v>400</v>
      </c>
      <c r="M7" s="451">
        <f>SUM(K7:L7)</f>
        <v/>
      </c>
      <c r="N7" s="437" t="n">
        <v>30</v>
      </c>
    </row>
    <row r="8" ht="17.25" customFormat="1" customHeight="1" s="112">
      <c r="A8" s="91" t="inlineStr">
        <is>
          <t>544783</t>
        </is>
      </c>
      <c r="B8" s="48" t="n">
        <v>0.5486111111111112</v>
      </c>
      <c r="C8" s="200" t="inlineStr">
        <is>
          <t>AP &gt; Cordis</t>
        </is>
      </c>
      <c r="D8" s="440" t="inlineStr">
        <is>
          <t>Keith CK9898 9888 0261</t>
        </is>
      </c>
      <c r="E8" s="39" t="inlineStr">
        <is>
          <t>Done</t>
        </is>
      </c>
      <c r="F8" s="40" t="n">
        <v>0.5381944444444444</v>
      </c>
      <c r="G8" s="40" t="n">
        <v>0.5590277777777778</v>
      </c>
      <c r="H8" s="39" t="n"/>
      <c r="I8" s="438" t="n"/>
      <c r="J8" s="441" t="n"/>
      <c r="K8" s="437" t="n"/>
      <c r="L8" s="436" t="n">
        <v>400</v>
      </c>
      <c r="M8" s="451">
        <f>SUM(K8:L8)</f>
        <v/>
      </c>
      <c r="N8" s="437" t="n">
        <v>30</v>
      </c>
    </row>
    <row r="9" ht="17.25" customFormat="1" customHeight="1" s="112">
      <c r="A9" s="91" t="inlineStr">
        <is>
          <t>544313</t>
        </is>
      </c>
      <c r="B9" s="48" t="n">
        <v>0.8680555555555556</v>
      </c>
      <c r="C9" s="101" t="inlineStr">
        <is>
          <t>HX239 &gt; 港麗</t>
        </is>
      </c>
      <c r="D9" s="165" t="inlineStr">
        <is>
          <t>Jacky CT8022 6998 6953</t>
        </is>
      </c>
      <c r="E9" s="39" t="inlineStr">
        <is>
          <t>Done</t>
        </is>
      </c>
      <c r="F9" s="40" t="n">
        <v>0.8958333333333334</v>
      </c>
      <c r="G9" s="40" t="n">
        <v>0.9236111111111112</v>
      </c>
      <c r="H9" s="39" t="n"/>
      <c r="I9" s="438" t="n"/>
      <c r="J9" s="441" t="inlineStr">
        <is>
          <t>西隧$40</t>
        </is>
      </c>
      <c r="K9" s="437" t="n">
        <v>40</v>
      </c>
      <c r="L9" s="436" t="n">
        <v>460</v>
      </c>
      <c r="M9" s="451">
        <f>SUM(K9:L9)</f>
        <v/>
      </c>
      <c r="N9" s="437" t="n">
        <v>30</v>
      </c>
    </row>
    <row r="10" ht="17.25" customFormat="1" customHeight="1" s="112">
      <c r="A10" s="91" t="n"/>
      <c r="B10" s="48" t="n"/>
      <c r="C10" s="101" t="n"/>
      <c r="D10" s="487" t="n"/>
      <c r="E10" s="39" t="n"/>
      <c r="F10" s="40" t="n"/>
      <c r="G10" s="40" t="n"/>
      <c r="H10" s="39" t="n"/>
      <c r="I10" s="438" t="n"/>
      <c r="J10" s="438" t="n"/>
      <c r="K10" s="447" t="n"/>
      <c r="L10" s="477" t="n"/>
      <c r="M10" s="451">
        <f>SUM(K10:L10)</f>
        <v/>
      </c>
      <c r="N10" s="437" t="n"/>
    </row>
    <row r="11" ht="17.25" customFormat="1" customHeight="1" s="112">
      <c r="A11" s="45" t="n"/>
      <c r="B11" s="100" t="n"/>
      <c r="C11" s="39" t="n"/>
      <c r="D11" s="39" t="n"/>
      <c r="E11" s="39" t="n"/>
      <c r="F11" s="40" t="n"/>
      <c r="G11" s="40" t="n"/>
      <c r="H11" s="39" t="n"/>
      <c r="I11" s="438" t="n"/>
      <c r="J11" s="442" t="n"/>
      <c r="K11" s="443" t="n"/>
      <c r="L11" s="444" t="n"/>
      <c r="M11" s="451" t="n"/>
      <c r="N11" s="437" t="n"/>
    </row>
    <row r="12" ht="17.25" customHeight="1">
      <c r="A12" s="101" t="n"/>
      <c r="B12" s="100" t="n"/>
      <c r="C12" s="39" t="n"/>
      <c r="D12" s="487" t="n"/>
      <c r="E12" s="39" t="n"/>
      <c r="F12" s="40" t="n"/>
      <c r="G12" s="40" t="n"/>
      <c r="H12" s="39" t="n"/>
      <c r="I12" s="438" t="n"/>
      <c r="J12" s="446" t="n"/>
      <c r="K12" s="447" t="n"/>
      <c r="L12" s="477" t="n"/>
      <c r="M12" s="451" t="n"/>
      <c r="N12" s="437" t="n"/>
    </row>
    <row r="13" ht="17.25" customHeight="1">
      <c r="A13" s="45" t="n"/>
      <c r="B13" s="48" t="n"/>
      <c r="C13" s="39" t="n"/>
      <c r="D13" s="440" t="n"/>
      <c r="E13" s="39" t="n"/>
      <c r="F13" s="40" t="n"/>
      <c r="G13" s="40" t="n"/>
      <c r="H13" s="449" t="n"/>
      <c r="I13" s="438" t="n"/>
      <c r="J13" s="441" t="n"/>
      <c r="K13" s="437" t="n"/>
      <c r="L13" s="436" t="n"/>
      <c r="M13" s="451" t="n"/>
      <c r="N13" s="437" t="n"/>
    </row>
    <row r="14" ht="17.25" customHeight="1">
      <c r="A14" s="47" t="n"/>
      <c r="B14" s="48" t="n"/>
      <c r="C14" s="39" t="n"/>
      <c r="D14" s="440" t="n"/>
      <c r="E14" s="39" t="n"/>
      <c r="F14" s="40" t="n"/>
      <c r="G14" s="40" t="n"/>
      <c r="H14" s="39" t="n"/>
      <c r="I14" s="438" t="n"/>
      <c r="J14" s="441" t="n"/>
      <c r="K14" s="437" t="n"/>
      <c r="L14" s="436" t="n"/>
      <c r="M14" s="451" t="n"/>
      <c r="N14" s="437" t="n"/>
    </row>
    <row r="15" ht="17.25" customHeight="1">
      <c r="A15" s="45" t="n"/>
      <c r="B15" s="48" t="n"/>
      <c r="C15" s="39" t="n"/>
      <c r="D15" s="440" t="n"/>
      <c r="E15" s="39" t="n"/>
      <c r="F15" s="40" t="n"/>
      <c r="G15" s="40" t="n"/>
      <c r="H15" s="39" t="n"/>
      <c r="I15" s="438" t="n"/>
      <c r="J15" s="441" t="n"/>
      <c r="K15" s="437" t="n"/>
      <c r="L15" s="436" t="n"/>
      <c r="M15" s="451" t="n"/>
      <c r="N15" s="437" t="n"/>
    </row>
    <row r="16" ht="17.25" customHeight="1">
      <c r="A16" s="45" t="n"/>
      <c r="B16" s="48" t="n"/>
      <c r="C16" s="39" t="n"/>
      <c r="D16" s="454" t="n"/>
      <c r="E16" s="39" t="n"/>
      <c r="F16" s="40" t="n"/>
      <c r="G16" s="40" t="n"/>
      <c r="H16" s="39" t="n"/>
      <c r="I16" s="438" t="n"/>
      <c r="J16" s="441" t="n"/>
      <c r="K16" s="437" t="n"/>
      <c r="L16" s="436" t="n"/>
      <c r="M16" s="451" t="n"/>
      <c r="N16" s="437" t="n"/>
    </row>
    <row r="17" ht="17.25" customHeight="1">
      <c r="A17" s="47" t="n"/>
      <c r="B17" s="48" t="n"/>
      <c r="C17" s="39" t="n"/>
      <c r="D17" s="454" t="n"/>
      <c r="E17" s="39" t="n"/>
      <c r="F17" s="40" t="n"/>
      <c r="G17" s="40" t="n"/>
      <c r="H17" s="39" t="n"/>
      <c r="I17" s="438" t="n"/>
      <c r="J17" s="441" t="n"/>
      <c r="K17" s="437" t="n"/>
      <c r="L17" s="436" t="n"/>
      <c r="M17" s="451" t="n"/>
      <c r="N17" s="437" t="n"/>
    </row>
    <row r="18" ht="17.25" customHeight="1">
      <c r="A18" s="45" t="n"/>
      <c r="B18" s="46" t="n"/>
      <c r="C18" s="39" t="n"/>
      <c r="D18" s="440" t="n"/>
      <c r="E18" s="39" t="n"/>
      <c r="F18" s="40" t="n"/>
      <c r="G18" s="40" t="n"/>
      <c r="H18" s="39" t="n"/>
      <c r="I18" s="438" t="n"/>
      <c r="J18" s="441" t="n"/>
      <c r="K18" s="437" t="n"/>
      <c r="L18" s="437" t="n"/>
      <c r="M18" s="451" t="n"/>
      <c r="N18" s="437" t="n"/>
    </row>
    <row r="19" ht="17.25" customHeight="1">
      <c r="A19" s="91" t="n"/>
      <c r="B19" s="8" t="n"/>
      <c r="C19" s="53" t="n"/>
      <c r="D19" s="425" t="n"/>
      <c r="E19" s="53" t="n"/>
      <c r="F19" s="61" t="n"/>
      <c r="G19" s="61" t="n"/>
      <c r="H19" s="53" t="n"/>
      <c r="I19" s="453" t="n"/>
      <c r="J19" s="455" t="n"/>
      <c r="K19" s="451" t="n"/>
      <c r="L19" s="451" t="n"/>
      <c r="M19" s="451" t="n"/>
      <c r="N19" s="437" t="n"/>
    </row>
    <row r="20" ht="17.25" customHeight="1">
      <c r="A20" s="45" t="n"/>
      <c r="B20" s="62" t="n"/>
      <c r="C20" s="53" t="n"/>
      <c r="D20" s="425" t="n"/>
      <c r="E20" s="53" t="n"/>
      <c r="F20" s="61" t="n"/>
      <c r="G20" s="61" t="n"/>
      <c r="H20" s="53" t="n"/>
      <c r="I20" s="453" t="n"/>
      <c r="J20" s="455" t="n"/>
      <c r="K20" s="451" t="n"/>
      <c r="L20" s="451" t="n"/>
      <c r="M20" s="451" t="n"/>
      <c r="N20" s="437" t="n"/>
    </row>
    <row r="21" ht="17.25" customHeight="1">
      <c r="A21" s="45" t="n"/>
      <c r="B21" s="62" t="n"/>
      <c r="C21" s="53" t="n"/>
      <c r="D21" s="425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51" t="n"/>
      <c r="N21" s="437" t="n"/>
    </row>
    <row r="22" ht="17.25" customHeight="1">
      <c r="A22" s="45" t="n"/>
      <c r="B22" s="62" t="n"/>
      <c r="C22" s="53" t="n"/>
      <c r="D22" s="425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51" t="n"/>
      <c r="N22" s="437" t="n"/>
    </row>
    <row r="23" ht="17.25" customHeight="1">
      <c r="A23" s="45" t="n"/>
      <c r="B23" s="62" t="n"/>
      <c r="C23" s="53" t="n"/>
      <c r="D23" s="425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51" t="n"/>
      <c r="N23" s="437" t="n"/>
    </row>
    <row r="24" ht="17.25" customHeight="1">
      <c r="A24" s="45" t="n"/>
      <c r="B24" s="62" t="n"/>
      <c r="C24" s="53" t="n"/>
      <c r="D24" s="456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51" t="n"/>
      <c r="N24" s="437" t="n"/>
    </row>
    <row r="25" ht="17.25" customHeight="1">
      <c r="A25" s="45" t="n"/>
      <c r="B25" s="62" t="n"/>
      <c r="C25" s="53" t="n"/>
      <c r="D25" s="53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51" t="n"/>
      <c r="N25" s="437" t="n"/>
    </row>
    <row r="26">
      <c r="A26" s="45" t="n"/>
      <c r="B26" s="62" t="n"/>
      <c r="C26" s="53" t="n"/>
      <c r="D26" s="53" t="n"/>
      <c r="E26" s="53" t="n"/>
      <c r="F26" s="61" t="n"/>
      <c r="G26" s="61" t="n"/>
      <c r="H26" s="53" t="n"/>
      <c r="I26" s="453" t="n"/>
      <c r="J26" s="455" t="n"/>
      <c r="K26" s="451" t="n"/>
      <c r="L26" s="451" t="n"/>
      <c r="M26" s="451" t="n"/>
      <c r="N26" s="437" t="n"/>
    </row>
    <row r="27">
      <c r="A27" s="45" t="n"/>
      <c r="B27" s="62" t="n"/>
      <c r="C27" s="53" t="n"/>
      <c r="D27" s="425" t="n"/>
      <c r="E27" s="53" t="n"/>
      <c r="F27" s="61" t="n"/>
      <c r="G27" s="61" t="n"/>
      <c r="H27" s="53" t="n"/>
      <c r="I27" s="453" t="n"/>
      <c r="J27" s="455" t="n"/>
      <c r="K27" s="451" t="n"/>
      <c r="L27" s="451" t="n"/>
      <c r="M27" s="451" t="n"/>
      <c r="N27" s="437" t="n"/>
    </row>
    <row r="28">
      <c r="A28" s="45" t="n"/>
      <c r="B28" s="62" t="n"/>
      <c r="C28" s="53" t="n"/>
      <c r="D28" s="476" t="n"/>
      <c r="E28" s="53" t="n"/>
      <c r="F28" s="61" t="n"/>
      <c r="G28" s="61" t="n"/>
      <c r="H28" s="53" t="n"/>
      <c r="I28" s="453" t="n"/>
      <c r="J28" s="455" t="n"/>
      <c r="K28" s="451" t="n"/>
      <c r="L28" s="451" t="n"/>
      <c r="M28" s="451" t="n"/>
      <c r="N28" s="437" t="n"/>
    </row>
    <row r="29">
      <c r="A29" s="45" t="n"/>
      <c r="B29" s="62" t="n"/>
      <c r="C29" s="53" t="n"/>
      <c r="D29" s="425" t="n"/>
      <c r="E29" s="53" t="n"/>
      <c r="F29" s="61" t="n"/>
      <c r="G29" s="61" t="n"/>
      <c r="H29" s="53" t="n"/>
      <c r="I29" s="453" t="n"/>
      <c r="J29" s="455" t="n"/>
      <c r="K29" s="451" t="n"/>
      <c r="L29" s="451" t="n"/>
      <c r="M29" s="451" t="n"/>
      <c r="N29" s="437" t="n"/>
    </row>
    <row r="30">
      <c r="A30" s="45" t="n"/>
      <c r="B30" s="62" t="n"/>
      <c r="C30" s="53" t="n"/>
      <c r="D30" s="9" t="n"/>
      <c r="E30" s="53" t="n"/>
      <c r="F30" s="61" t="n"/>
      <c r="G30" s="61" t="n"/>
      <c r="H30" s="53" t="n"/>
      <c r="I30" s="453" t="n"/>
      <c r="J30" s="455" t="n"/>
      <c r="K30" s="451" t="n"/>
      <c r="L30" s="451" t="n"/>
      <c r="M30" s="451" t="n"/>
      <c r="N30" s="437" t="n"/>
    </row>
    <row r="31">
      <c r="A31" s="45" t="n"/>
      <c r="B31" s="62" t="n"/>
      <c r="C31" s="53" t="n"/>
      <c r="D31" s="425" t="n"/>
      <c r="E31" s="53" t="n"/>
      <c r="F31" s="61" t="n"/>
      <c r="G31" s="61" t="n"/>
      <c r="H31" s="53" t="n"/>
      <c r="I31" s="453" t="n"/>
      <c r="J31" s="455" t="n"/>
      <c r="K31" s="451" t="n"/>
      <c r="L31" s="451" t="n"/>
      <c r="M31" s="451" t="n"/>
      <c r="N31" s="437" t="n"/>
    </row>
    <row r="32">
      <c r="A32" s="45" t="n"/>
      <c r="B32" s="62" t="n"/>
      <c r="C32" s="53" t="n"/>
      <c r="D32" s="425" t="n"/>
      <c r="E32" s="53" t="n"/>
      <c r="F32" s="61" t="n"/>
      <c r="G32" s="61" t="n"/>
      <c r="H32" s="53" t="n"/>
      <c r="I32" s="453" t="n"/>
      <c r="J32" s="455" t="n"/>
      <c r="K32" s="451" t="n"/>
      <c r="L32" s="451" t="n"/>
      <c r="M32" s="451" t="n"/>
      <c r="N32" s="437" t="n"/>
    </row>
    <row r="33">
      <c r="A33" s="45" t="n"/>
      <c r="B33" s="62" t="n"/>
      <c r="C33" s="53" t="n"/>
      <c r="D33" s="456" t="n"/>
      <c r="E33" s="10" t="n"/>
      <c r="F33" s="61" t="n"/>
      <c r="G33" s="61" t="n"/>
      <c r="H33" s="10" t="n"/>
      <c r="I33" s="461" t="n"/>
      <c r="J33" s="458" t="n"/>
      <c r="K33" s="459" t="n"/>
      <c r="L33" s="459" t="n"/>
      <c r="M33" s="451" t="n"/>
      <c r="N33" s="437" t="n"/>
    </row>
    <row r="34">
      <c r="A34" s="236" t="n"/>
      <c r="B34" s="15" t="n"/>
      <c r="C34" s="10" t="n"/>
      <c r="D34" s="425" t="n"/>
      <c r="E34" s="10" t="n"/>
      <c r="F34" s="61" t="n"/>
      <c r="G34" s="61" t="n"/>
      <c r="H34" s="10" t="n"/>
      <c r="I34" s="461" t="n"/>
      <c r="J34" s="458" t="n"/>
      <c r="K34" s="459" t="n"/>
      <c r="L34" s="459" t="n"/>
      <c r="M34" s="451" t="n"/>
      <c r="N34" s="437" t="n"/>
    </row>
    <row r="35">
      <c r="A35" s="236" t="n"/>
      <c r="B35" s="15" t="n"/>
      <c r="C35" s="10" t="n"/>
      <c r="D35" s="460" t="n"/>
      <c r="E35" s="10" t="n"/>
      <c r="F35" s="61" t="n"/>
      <c r="G35" s="61" t="n"/>
      <c r="H35" s="10" t="n"/>
      <c r="I35" s="461" t="n"/>
      <c r="J35" s="458" t="n"/>
      <c r="K35" s="459" t="n"/>
      <c r="L35" s="459" t="n"/>
      <c r="M35" s="451" t="n"/>
      <c r="N35" s="437" t="n"/>
    </row>
    <row r="36">
      <c r="A36" s="236" t="n"/>
      <c r="B36" s="15" t="n"/>
      <c r="C36" s="10" t="n"/>
      <c r="D36" s="460" t="n"/>
      <c r="E36" s="10" t="n"/>
      <c r="F36" s="61" t="n"/>
      <c r="G36" s="61" t="n"/>
      <c r="H36" s="10" t="n"/>
      <c r="I36" s="461" t="n"/>
      <c r="J36" s="458" t="n"/>
      <c r="K36" s="459" t="n"/>
      <c r="L36" s="459" t="n"/>
      <c r="M36" s="451" t="n"/>
      <c r="N36" s="437" t="n"/>
    </row>
    <row r="37">
      <c r="A37" s="236" t="n"/>
      <c r="B37" s="15" t="n"/>
      <c r="C37" s="10" t="n"/>
      <c r="D37" s="425" t="n"/>
      <c r="E37" s="10" t="n"/>
      <c r="F37" s="61" t="n"/>
      <c r="G37" s="61" t="n"/>
      <c r="H37" s="10" t="n"/>
      <c r="I37" s="461" t="n"/>
      <c r="J37" s="458" t="n"/>
      <c r="K37" s="459" t="n"/>
      <c r="L37" s="459" t="n"/>
      <c r="M37" s="451" t="n"/>
      <c r="N37" s="437" t="n"/>
    </row>
    <row r="38">
      <c r="A38" s="229" t="n"/>
      <c r="B38" s="18" t="n"/>
      <c r="C38" s="10" t="n"/>
      <c r="D38" s="452" t="n"/>
      <c r="E38" s="10" t="n"/>
      <c r="F38" s="61" t="n"/>
      <c r="G38" s="61" t="n"/>
      <c r="H38" s="10" t="n"/>
      <c r="I38" s="461" t="n"/>
      <c r="J38" s="458" t="n"/>
      <c r="K38" s="459" t="n"/>
      <c r="L38" s="459" t="n"/>
      <c r="M38" s="451" t="n"/>
      <c r="N38" s="437" t="n"/>
    </row>
    <row r="39">
      <c r="A39" s="229" t="n"/>
      <c r="B39" s="18" t="n"/>
      <c r="C39" s="10" t="n"/>
      <c r="D39" s="452" t="n"/>
      <c r="E39" s="10" t="n"/>
      <c r="F39" s="61" t="n"/>
      <c r="G39" s="61" t="n"/>
      <c r="H39" s="10" t="n"/>
      <c r="I39" s="461" t="n"/>
      <c r="J39" s="458" t="n"/>
      <c r="K39" s="459" t="n"/>
      <c r="L39" s="459" t="n"/>
      <c r="M39" s="451" t="n"/>
      <c r="N39" s="437" t="n"/>
    </row>
    <row r="40">
      <c r="A40" s="238" t="n"/>
      <c r="B40" s="21" t="n"/>
      <c r="C40" s="22" t="n"/>
      <c r="D40" s="21" t="n"/>
      <c r="E40" s="21" t="n"/>
      <c r="F40" s="21" t="n"/>
      <c r="G40" s="21" t="n"/>
      <c r="H40" s="21" t="n"/>
      <c r="J40" s="469" t="n"/>
      <c r="K40" s="470" t="n"/>
      <c r="L40" s="470" t="n"/>
      <c r="M40" s="472">
        <f>SUM(M2:M39)</f>
        <v/>
      </c>
      <c r="N40" s="472">
        <f>SUM(N2:N39)</f>
        <v/>
      </c>
    </row>
    <row r="41">
      <c r="A41" s="238" t="n"/>
      <c r="B41" s="21" t="n"/>
      <c r="C41" s="22" t="n"/>
      <c r="D41" s="21" t="n"/>
      <c r="E41" s="21" t="n"/>
      <c r="F41" s="21" t="n"/>
      <c r="G41" s="21" t="n"/>
      <c r="H41" s="21" t="n"/>
      <c r="J41" s="469" t="n"/>
      <c r="K41" s="470" t="n"/>
      <c r="L41" s="470" t="n"/>
      <c r="M41" s="473" t="n"/>
    </row>
    <row r="42">
      <c r="A42" s="238" t="n"/>
      <c r="B42" s="21" t="n"/>
      <c r="C42" s="22" t="n"/>
      <c r="D42" s="21" t="n"/>
      <c r="E42" s="21" t="n"/>
      <c r="F42" s="21" t="n"/>
      <c r="G42" s="21" t="n"/>
      <c r="H42" s="21" t="n"/>
      <c r="J42" s="469" t="n"/>
      <c r="K42" s="470" t="n"/>
      <c r="L42" s="47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autoFilter ref="A1:N39">
    <sortState ref="A2:N39">
      <sortCondition ref="B1:B39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5"/>
  <sheetViews>
    <sheetView topLeftCell="C28" workbookViewId="0">
      <selection activeCell="C40" sqref="A40:XFD40"/>
    </sheetView>
  </sheetViews>
  <sheetFormatPr baseColWidth="8" defaultColWidth="8.75" defaultRowHeight="15"/>
  <cols>
    <col width="9" customWidth="1" style="29" min="1" max="1"/>
    <col width="61.5" customWidth="1" min="3" max="3"/>
    <col width="25.25" customWidth="1" min="4" max="4"/>
    <col width="9" bestFit="1" customWidth="1" min="5" max="7"/>
    <col width="11.5" bestFit="1" customWidth="1" min="8" max="8"/>
    <col width="9.5" customWidth="1" min="9" max="9"/>
    <col width="36.875" customWidth="1" style="423" min="10" max="10"/>
    <col width="9" bestFit="1" customWidth="1" style="424" min="11" max="12"/>
    <col width="15.125" customWidth="1" style="424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5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customFormat="1" s="6">
      <c r="A2" s="159" t="inlineStr">
        <is>
          <t>544485</t>
        </is>
      </c>
      <c r="B2" s="164" t="n">
        <v>0.08333333333333333</v>
      </c>
      <c r="C2" s="165" t="inlineStr">
        <is>
          <t>MB300 &gt; TST</t>
        </is>
      </c>
      <c r="D2" s="440" t="inlineStr">
        <is>
          <t>Stanley LJ9800 9828 6100</t>
        </is>
      </c>
      <c r="E2" s="39" t="inlineStr">
        <is>
          <t>Done</t>
        </is>
      </c>
      <c r="F2" s="40" t="n">
        <v>0.09722222222222222</v>
      </c>
      <c r="G2" s="40" t="n">
        <v>0.1180555555555556</v>
      </c>
      <c r="H2" s="39" t="n"/>
      <c r="I2" s="438" t="n"/>
      <c r="J2" s="446" t="inlineStr">
        <is>
          <t>P $35 ， OT $60</t>
        </is>
      </c>
      <c r="K2" s="437" t="n">
        <v>95</v>
      </c>
      <c r="L2" s="436" t="n">
        <v>400</v>
      </c>
      <c r="M2" s="451">
        <f>SUM(K2:L2)</f>
        <v/>
      </c>
      <c r="N2" s="437" t="n">
        <v>30</v>
      </c>
    </row>
    <row r="3" customFormat="1" s="6">
      <c r="A3" s="159" t="inlineStr">
        <is>
          <t>544485</t>
        </is>
      </c>
      <c r="B3" s="164" t="n">
        <v>0.08333333333333333</v>
      </c>
      <c r="C3" s="165" t="inlineStr">
        <is>
          <t>MB300 &gt; TST</t>
        </is>
      </c>
      <c r="D3" s="440" t="inlineStr">
        <is>
          <t>Ricky ZJ6071 5108 9715</t>
        </is>
      </c>
      <c r="E3" s="39" t="inlineStr">
        <is>
          <t>Done</t>
        </is>
      </c>
      <c r="F3" s="40" t="n">
        <v>0.09722222222222222</v>
      </c>
      <c r="G3" s="40" t="n">
        <v>0.1180555555555556</v>
      </c>
      <c r="H3" s="39" t="n"/>
      <c r="I3" s="438" t="n"/>
      <c r="J3" s="446" t="inlineStr">
        <is>
          <t>P $35 ， OT $60</t>
        </is>
      </c>
      <c r="K3" s="437" t="n">
        <v>95</v>
      </c>
      <c r="L3" s="436" t="n">
        <v>400</v>
      </c>
      <c r="M3" s="451">
        <f>SUM(K3:L3)</f>
        <v/>
      </c>
      <c r="N3" s="437" t="n">
        <v>30</v>
      </c>
    </row>
    <row r="4" customFormat="1" s="6">
      <c r="A4" s="45" t="inlineStr">
        <is>
          <t>544486</t>
        </is>
      </c>
      <c r="B4" s="46" t="n">
        <v>0.2604166666666667</v>
      </c>
      <c r="C4" s="39" t="inlineStr">
        <is>
          <t>TST &gt; AP</t>
        </is>
      </c>
      <c r="D4" s="454" t="inlineStr">
        <is>
          <t>Stanley LJ9800 9828 6100</t>
        </is>
      </c>
      <c r="E4" s="39" t="inlineStr">
        <is>
          <t>Done</t>
        </is>
      </c>
      <c r="F4" s="40" t="n">
        <v>0.2673611111111111</v>
      </c>
      <c r="G4" s="40" t="n">
        <v>0.2881944444444444</v>
      </c>
      <c r="H4" s="39" t="n"/>
      <c r="I4" s="438" t="n"/>
      <c r="J4" s="446" t="inlineStr">
        <is>
          <t>OT$60</t>
        </is>
      </c>
      <c r="K4" s="488" t="n">
        <v>60</v>
      </c>
      <c r="L4" s="489" t="n">
        <v>400</v>
      </c>
      <c r="M4" s="490">
        <f>SUM(K4:L4)</f>
        <v/>
      </c>
      <c r="N4" s="437" t="n">
        <v>30</v>
      </c>
    </row>
    <row r="5" ht="15.75" customFormat="1" customHeight="1" s="6">
      <c r="A5" s="45" t="inlineStr">
        <is>
          <t>544486</t>
        </is>
      </c>
      <c r="B5" s="46" t="n">
        <v>0.2604166666666667</v>
      </c>
      <c r="C5" s="39" t="inlineStr">
        <is>
          <t>TST &gt; AP</t>
        </is>
      </c>
      <c r="D5" s="454" t="inlineStr">
        <is>
          <t>公司</t>
        </is>
      </c>
      <c r="E5" s="39" t="inlineStr">
        <is>
          <t>Late change</t>
        </is>
      </c>
      <c r="F5" s="40" t="n"/>
      <c r="G5" s="40" t="n"/>
      <c r="H5" s="39" t="n"/>
      <c r="I5" s="438" t="n"/>
      <c r="J5" s="446" t="inlineStr">
        <is>
          <t>Late change 收全費</t>
        </is>
      </c>
      <c r="K5" s="488" t="n"/>
      <c r="L5" s="489" t="n">
        <v>400</v>
      </c>
      <c r="M5" s="490">
        <f>SUM(K5:L5)</f>
        <v/>
      </c>
      <c r="N5" s="437" t="n">
        <v>0</v>
      </c>
    </row>
    <row r="6" customFormat="1" s="6">
      <c r="A6" s="45" t="inlineStr">
        <is>
          <t>544562</t>
        </is>
      </c>
      <c r="B6" s="46" t="n">
        <v>0.3125</v>
      </c>
      <c r="C6" s="165" t="inlineStr">
        <is>
          <t>TST &gt; AP</t>
        </is>
      </c>
      <c r="D6" s="440" t="inlineStr">
        <is>
          <t>Patrick WH9918 9318 2082</t>
        </is>
      </c>
      <c r="E6" s="39" t="inlineStr">
        <is>
          <t>Done</t>
        </is>
      </c>
      <c r="F6" s="40" t="n">
        <v>0.3125</v>
      </c>
      <c r="G6" s="40" t="n">
        <v>0.3333333333333333</v>
      </c>
      <c r="H6" s="39" t="n"/>
      <c r="I6" s="438" t="n"/>
      <c r="J6" s="446" t="n"/>
      <c r="K6" s="488" t="n"/>
      <c r="L6" s="489" t="n">
        <v>400</v>
      </c>
      <c r="M6" s="451">
        <f>SUM(K6:L6)</f>
        <v/>
      </c>
      <c r="N6" s="437" t="n">
        <v>30</v>
      </c>
    </row>
    <row r="7" customFormat="1" s="6">
      <c r="A7" s="159" t="inlineStr">
        <is>
          <t>544424</t>
        </is>
      </c>
      <c r="B7" s="174" t="n">
        <v>0.3368055555555556</v>
      </c>
      <c r="C7" s="167" t="inlineStr">
        <is>
          <t>Cordis &gt; AP</t>
        </is>
      </c>
      <c r="D7" s="487" t="inlineStr">
        <is>
          <t>Cheuk RN377 9669 5358</t>
        </is>
      </c>
      <c r="E7" s="165" t="inlineStr">
        <is>
          <t>Done</t>
        </is>
      </c>
      <c r="F7" s="166" t="n">
        <v>0.3368055555555556</v>
      </c>
      <c r="G7" s="166" t="n">
        <v>0.3576388888888889</v>
      </c>
      <c r="H7" s="165" t="n"/>
      <c r="I7" s="446" t="n"/>
      <c r="J7" s="446" t="n"/>
      <c r="K7" s="448" t="n"/>
      <c r="L7" s="477" t="n">
        <v>400</v>
      </c>
      <c r="M7" s="490">
        <f>SUM(K7:L7)</f>
        <v/>
      </c>
      <c r="N7" s="437" t="n">
        <v>30</v>
      </c>
    </row>
    <row r="8" customFormat="1" s="6">
      <c r="A8" s="159" t="inlineStr">
        <is>
          <t>544424</t>
        </is>
      </c>
      <c r="B8" s="174" t="n">
        <v>0.3368055555555556</v>
      </c>
      <c r="C8" s="167" t="inlineStr">
        <is>
          <t>Cordis &gt; AP</t>
        </is>
      </c>
      <c r="D8" s="487" t="inlineStr">
        <is>
          <t>Ansel FN655 9808 7896</t>
        </is>
      </c>
      <c r="E8" s="165" t="inlineStr">
        <is>
          <t>Done</t>
        </is>
      </c>
      <c r="F8" s="166" t="n">
        <v>0.3368055555555556</v>
      </c>
      <c r="G8" s="166" t="n">
        <v>0.3576388888888889</v>
      </c>
      <c r="H8" s="165" t="n"/>
      <c r="I8" s="446" t="n"/>
      <c r="J8" s="446" t="n"/>
      <c r="K8" s="448" t="n"/>
      <c r="L8" s="477" t="n">
        <v>400</v>
      </c>
      <c r="M8" s="490">
        <f>SUM(K8:L8)</f>
        <v/>
      </c>
      <c r="N8" s="437" t="n">
        <v>30</v>
      </c>
    </row>
    <row r="9">
      <c r="A9" s="45" t="inlineStr">
        <is>
          <t>544561</t>
        </is>
      </c>
      <c r="B9" s="46" t="n">
        <v>0.3125</v>
      </c>
      <c r="C9" s="158" t="inlineStr">
        <is>
          <t>MB294 &gt; TST</t>
        </is>
      </c>
      <c r="D9" s="440" t="inlineStr">
        <is>
          <t>Stanley LJ9800 9828 6100</t>
        </is>
      </c>
      <c r="E9" s="39" t="inlineStr">
        <is>
          <t>Done</t>
        </is>
      </c>
      <c r="F9" s="40" t="n">
        <v>0.34375</v>
      </c>
      <c r="G9" s="40" t="n">
        <v>0.3645833333333333</v>
      </c>
      <c r="H9" s="39" t="n"/>
      <c r="I9" s="438" t="n"/>
      <c r="J9" s="441" t="inlineStr">
        <is>
          <t>P$35</t>
        </is>
      </c>
      <c r="K9" s="437" t="n">
        <v>35</v>
      </c>
      <c r="L9" s="437" t="n">
        <v>400</v>
      </c>
      <c r="M9" s="451">
        <f>SUM(K9:L9)</f>
        <v/>
      </c>
      <c r="N9" s="437" t="n">
        <v>30</v>
      </c>
    </row>
    <row r="10">
      <c r="A10" s="45" t="inlineStr">
        <is>
          <t>544561</t>
        </is>
      </c>
      <c r="B10" s="46" t="n">
        <v>0.3125</v>
      </c>
      <c r="C10" s="158" t="inlineStr">
        <is>
          <t>MB294 &gt; TST</t>
        </is>
      </c>
      <c r="D10" s="440" t="inlineStr">
        <is>
          <t>Ricky ZJ6071 5108 9715</t>
        </is>
      </c>
      <c r="E10" s="39" t="inlineStr">
        <is>
          <t>Done</t>
        </is>
      </c>
      <c r="F10" s="40" t="n">
        <v>0.34375</v>
      </c>
      <c r="G10" s="40" t="n">
        <v>0.3645833333333333</v>
      </c>
      <c r="H10" s="39" t="n"/>
      <c r="I10" s="438" t="n"/>
      <c r="J10" s="441" t="inlineStr">
        <is>
          <t>P$35</t>
        </is>
      </c>
      <c r="K10" s="437" t="n">
        <v>35</v>
      </c>
      <c r="L10" s="437" t="n">
        <v>400</v>
      </c>
      <c r="M10" s="451">
        <f>SUM(K10:L10)</f>
        <v/>
      </c>
      <c r="N10" s="437" t="n">
        <v>30</v>
      </c>
    </row>
    <row r="11">
      <c r="A11" s="47" t="inlineStr">
        <is>
          <t>544488</t>
        </is>
      </c>
      <c r="B11" s="48" t="n">
        <v>0.34375</v>
      </c>
      <c r="C11" s="93" t="inlineStr">
        <is>
          <t>TST &gt; AP</t>
        </is>
      </c>
      <c r="D11" s="440" t="inlineStr">
        <is>
          <t>Keith CK9898 9888 0261</t>
        </is>
      </c>
      <c r="E11" s="39" t="inlineStr">
        <is>
          <t>Done</t>
        </is>
      </c>
      <c r="F11" s="40" t="n">
        <v>0.34375</v>
      </c>
      <c r="G11" s="40" t="n">
        <v>0.3645833333333333</v>
      </c>
      <c r="H11" s="39" t="n"/>
      <c r="I11" s="438" t="n"/>
      <c r="J11" s="441" t="n"/>
      <c r="K11" s="437" t="n"/>
      <c r="L11" s="437" t="n">
        <v>400</v>
      </c>
      <c r="M11" s="451">
        <f>SUM(K11:L11)</f>
        <v/>
      </c>
      <c r="N11" s="437" t="n">
        <v>30</v>
      </c>
    </row>
    <row r="12">
      <c r="A12" s="47" t="inlineStr">
        <is>
          <t>544488</t>
        </is>
      </c>
      <c r="B12" s="48" t="n">
        <v>0.34375</v>
      </c>
      <c r="C12" s="93" t="inlineStr">
        <is>
          <t>TST &gt; AP</t>
        </is>
      </c>
      <c r="D12" s="440" t="inlineStr">
        <is>
          <t>Andy WH9918 6882 2808</t>
        </is>
      </c>
      <c r="E12" s="39" t="inlineStr">
        <is>
          <t>Done</t>
        </is>
      </c>
      <c r="F12" s="40" t="n">
        <v>0.34375</v>
      </c>
      <c r="G12" s="40" t="n">
        <v>0.3645833333333333</v>
      </c>
      <c r="H12" s="39" t="n"/>
      <c r="I12" s="438" t="n"/>
      <c r="J12" s="441" t="n"/>
      <c r="K12" s="437" t="n"/>
      <c r="L12" s="437" t="n">
        <v>400</v>
      </c>
      <c r="M12" s="451">
        <f>SUM(K12:L12)</f>
        <v/>
      </c>
      <c r="N12" s="437" t="n">
        <v>30</v>
      </c>
    </row>
    <row r="13">
      <c r="A13" s="45" t="inlineStr">
        <is>
          <t>544564</t>
        </is>
      </c>
      <c r="B13" s="46" t="n">
        <v>0.375</v>
      </c>
      <c r="C13" s="158" t="inlineStr">
        <is>
          <t>TST &gt; AP</t>
        </is>
      </c>
      <c r="D13" s="491" t="inlineStr">
        <is>
          <t>Stanley LJ9800 9828 6100</t>
        </is>
      </c>
      <c r="E13" s="492" t="inlineStr">
        <is>
          <t>Done</t>
        </is>
      </c>
      <c r="F13" s="40" t="n">
        <v>0.375</v>
      </c>
      <c r="G13" s="40" t="n">
        <v>0.3958333333333333</v>
      </c>
      <c r="H13" s="39" t="n"/>
      <c r="I13" s="438" t="n"/>
      <c r="J13" s="485" t="n"/>
      <c r="K13" s="437" t="n"/>
      <c r="L13" s="437" t="n">
        <v>400</v>
      </c>
      <c r="M13" s="451">
        <f>SUM(K13:L13)</f>
        <v/>
      </c>
      <c r="N13" s="437" t="n">
        <v>30</v>
      </c>
    </row>
    <row r="14">
      <c r="A14" s="45" t="inlineStr">
        <is>
          <t>544599</t>
        </is>
      </c>
      <c r="B14" s="46" t="n">
        <v>0.4236111111111111</v>
      </c>
      <c r="C14" s="158" t="inlineStr">
        <is>
          <t>Conrad on hire</t>
        </is>
      </c>
      <c r="D14" s="491" t="inlineStr">
        <is>
          <t>Keith CK9898 9888 0261</t>
        </is>
      </c>
      <c r="E14" s="492" t="inlineStr">
        <is>
          <t>Done</t>
        </is>
      </c>
      <c r="F14" s="40" t="n">
        <v>0.4236111111111111</v>
      </c>
      <c r="G14" s="40" t="n">
        <v>0.5215277777777778</v>
      </c>
      <c r="H14" s="39" t="n"/>
      <c r="I14" s="438" t="n"/>
      <c r="J14" s="485" t="inlineStr">
        <is>
          <t>Min 4 hour on hire</t>
        </is>
      </c>
      <c r="K14" s="437" t="n"/>
      <c r="L14" s="437" t="n">
        <v>920</v>
      </c>
      <c r="M14" s="451">
        <f>SUM(K14:L14)</f>
        <v/>
      </c>
      <c r="N14" s="437" t="n">
        <v>30</v>
      </c>
      <c r="P14" t="inlineStr">
        <is>
          <t>Conrad-landmark/ Conrad</t>
        </is>
      </c>
    </row>
    <row r="15">
      <c r="A15" s="91" t="inlineStr">
        <is>
          <t>544513</t>
        </is>
      </c>
      <c r="B15" s="48" t="n">
        <v>0.7430555555555556</v>
      </c>
      <c r="C15" s="158" t="inlineStr">
        <is>
          <t>QF127 &gt; Grand Hyatt</t>
        </is>
      </c>
      <c r="D15" s="492" t="inlineStr">
        <is>
          <t>Keith CK9898 9888 0261</t>
        </is>
      </c>
      <c r="E15" s="39" t="inlineStr">
        <is>
          <t>Done</t>
        </is>
      </c>
      <c r="F15" s="40" t="n">
        <v>0.7638888888888888</v>
      </c>
      <c r="G15" s="40" t="n">
        <v>0.7951388888888888</v>
      </c>
      <c r="H15" s="39" t="n"/>
      <c r="I15" s="438" t="n"/>
      <c r="J15" s="485" t="inlineStr">
        <is>
          <t>西隧$40 ， P $35</t>
        </is>
      </c>
      <c r="K15" s="437" t="n">
        <v>75</v>
      </c>
      <c r="L15" s="437" t="n">
        <v>460</v>
      </c>
      <c r="M15" s="451">
        <f>SUM(K15:L15)</f>
        <v/>
      </c>
      <c r="N15" s="437" t="n">
        <v>30</v>
      </c>
    </row>
    <row r="16">
      <c r="A16" s="45" t="inlineStr">
        <is>
          <t>544909</t>
        </is>
      </c>
      <c r="B16" s="46" t="n">
        <v>0.3784722222222222</v>
      </c>
      <c r="C16" s="39" t="inlineStr">
        <is>
          <t>Cordis &gt; AP</t>
        </is>
      </c>
      <c r="D16" s="112" t="inlineStr">
        <is>
          <t>Ricky ZJ6071 5108 9715</t>
        </is>
      </c>
      <c r="E16" s="39" t="inlineStr">
        <is>
          <t>No show</t>
        </is>
      </c>
      <c r="F16" s="40" t="n"/>
      <c r="G16" s="40" t="n"/>
      <c r="H16" s="39" t="n"/>
      <c r="I16" s="438" t="n"/>
      <c r="J16" s="441" t="n"/>
      <c r="K16" s="437" t="n"/>
      <c r="L16" s="437" t="n">
        <v>400</v>
      </c>
      <c r="M16" s="451">
        <f>SUM(K16:L16)</f>
        <v/>
      </c>
      <c r="N16" s="437" t="n"/>
    </row>
    <row r="17">
      <c r="A17" s="51" t="n"/>
      <c r="B17" s="62" t="n"/>
      <c r="C17" s="53" t="n"/>
      <c r="D17" s="9" t="n"/>
      <c r="E17" s="53" t="n"/>
      <c r="F17" s="61" t="n"/>
      <c r="G17" s="61" t="n"/>
      <c r="H17" s="53" t="n"/>
      <c r="I17" s="453" t="n"/>
      <c r="J17" s="455" t="n"/>
      <c r="K17" s="451" t="n"/>
      <c r="L17" s="451" t="n"/>
      <c r="M17" s="451">
        <f>SUM(K17:L17)</f>
        <v/>
      </c>
      <c r="N17" s="437" t="n"/>
    </row>
    <row r="18">
      <c r="A18" s="51" t="n"/>
      <c r="B18" s="62" t="n"/>
      <c r="C18" s="53" t="n"/>
      <c r="D18" s="425" t="n"/>
      <c r="E18" s="53" t="n"/>
      <c r="F18" s="61" t="n"/>
      <c r="G18" s="61" t="n"/>
      <c r="H18" s="53" t="n"/>
      <c r="I18" s="453" t="n"/>
      <c r="J18" s="455" t="n"/>
      <c r="K18" s="451" t="n"/>
      <c r="L18" s="451" t="n"/>
      <c r="M18" s="451">
        <f>SUM(K18:L18)</f>
        <v/>
      </c>
      <c r="N18" s="437" t="n"/>
    </row>
    <row r="19">
      <c r="A19" s="51" t="n"/>
      <c r="B19" s="62" t="n"/>
      <c r="C19" s="51" t="n"/>
      <c r="D19" s="456" t="n"/>
      <c r="E19" s="10" t="n"/>
      <c r="F19" s="61" t="n"/>
      <c r="G19" s="61" t="n"/>
      <c r="H19" s="10" t="n"/>
      <c r="I19" s="461" t="n"/>
      <c r="J19" s="458" t="n"/>
      <c r="K19" s="459" t="n"/>
      <c r="L19" s="459" t="n"/>
      <c r="M19" s="451">
        <f>SUM(K19:L19)</f>
        <v/>
      </c>
      <c r="N19" s="437" t="n"/>
    </row>
    <row r="20">
      <c r="A20" s="14" t="n"/>
      <c r="B20" s="15" t="n"/>
      <c r="C20" s="10" t="n"/>
      <c r="D20" s="425" t="n"/>
      <c r="E20" s="10" t="n"/>
      <c r="F20" s="61" t="n"/>
      <c r="G20" s="61" t="n"/>
      <c r="H20" s="10" t="n"/>
      <c r="I20" s="461" t="n"/>
      <c r="J20" s="458" t="n"/>
      <c r="K20" s="459" t="n"/>
      <c r="L20" s="459" t="n"/>
      <c r="M20" s="451">
        <f>SUM(K20:L20)</f>
        <v/>
      </c>
      <c r="N20" s="437" t="n"/>
    </row>
    <row r="21">
      <c r="A21" s="14" t="n"/>
      <c r="B21" s="15" t="n"/>
      <c r="C21" s="10" t="n"/>
      <c r="D21" s="460" t="n"/>
      <c r="E21" s="10" t="n"/>
      <c r="F21" s="61" t="n"/>
      <c r="G21" s="61" t="n"/>
      <c r="H21" s="10" t="n"/>
      <c r="I21" s="461" t="n"/>
      <c r="J21" s="458" t="n"/>
      <c r="K21" s="459" t="n"/>
      <c r="L21" s="459" t="n"/>
      <c r="M21" s="451">
        <f>SUM(K21:L21)</f>
        <v/>
      </c>
      <c r="N21" s="437" t="n"/>
    </row>
    <row r="22">
      <c r="A22" s="51" t="n"/>
      <c r="B22" s="62" t="n"/>
      <c r="C22" s="53" t="n"/>
      <c r="D22" s="425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51">
        <f>SUM(K22:L22)</f>
        <v/>
      </c>
      <c r="N22" s="437" t="n"/>
    </row>
    <row r="23">
      <c r="A23" s="51" t="n"/>
      <c r="B23" s="62" t="n"/>
      <c r="C23" s="53" t="n"/>
      <c r="D23" s="9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51">
        <f>SUM(K23:L23)</f>
        <v/>
      </c>
      <c r="N23" s="437" t="n"/>
    </row>
    <row r="24">
      <c r="A24" s="51" t="n"/>
      <c r="B24" s="62" t="n"/>
      <c r="C24" s="53" t="n"/>
      <c r="D24" s="425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51">
        <f>SUM(K24:L24)</f>
        <v/>
      </c>
      <c r="N24" s="437" t="n"/>
    </row>
    <row r="25">
      <c r="A25" s="51" t="n"/>
      <c r="B25" s="62" t="n"/>
      <c r="C25" s="53" t="n"/>
      <c r="D25" s="425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51">
        <f>SUM(K25:L25)</f>
        <v/>
      </c>
      <c r="N25" s="437" t="n"/>
    </row>
    <row r="26">
      <c r="A26" s="51" t="n"/>
      <c r="B26" s="62" t="n"/>
      <c r="C26" s="53" t="n"/>
      <c r="D26" s="456" t="n"/>
      <c r="E26" s="10" t="n"/>
      <c r="F26" s="61" t="n"/>
      <c r="G26" s="61" t="n"/>
      <c r="H26" s="10" t="n"/>
      <c r="I26" s="461" t="n"/>
      <c r="J26" s="458" t="n"/>
      <c r="K26" s="459" t="n"/>
      <c r="L26" s="459" t="n"/>
      <c r="M26" s="451">
        <f>SUM(K26:L26)</f>
        <v/>
      </c>
      <c r="N26" s="437" t="n"/>
    </row>
    <row r="27">
      <c r="A27" s="14" t="n"/>
      <c r="B27" s="15" t="n"/>
      <c r="C27" s="10" t="n"/>
      <c r="D27" s="425" t="n"/>
      <c r="E27" s="10" t="n"/>
      <c r="F27" s="61" t="n"/>
      <c r="G27" s="61" t="n"/>
      <c r="H27" s="10" t="n"/>
      <c r="I27" s="461" t="n"/>
      <c r="J27" s="458" t="n"/>
      <c r="K27" s="459" t="n"/>
      <c r="L27" s="459" t="n"/>
      <c r="M27" s="451">
        <f>SUM(K27:L27)</f>
        <v/>
      </c>
      <c r="N27" s="437" t="n"/>
    </row>
    <row r="28">
      <c r="A28" s="14" t="n"/>
      <c r="B28" s="15" t="n"/>
      <c r="C28" s="10" t="n"/>
      <c r="D28" s="460" t="n"/>
      <c r="E28" s="10" t="n"/>
      <c r="F28" s="61" t="n"/>
      <c r="G28" s="61" t="n"/>
      <c r="H28" s="10" t="n"/>
      <c r="I28" s="461" t="n"/>
      <c r="J28" s="458" t="n"/>
      <c r="K28" s="459" t="n"/>
      <c r="L28" s="459" t="n"/>
      <c r="M28" s="451">
        <f>SUM(K28:L28)</f>
        <v/>
      </c>
      <c r="N28" s="437" t="n"/>
    </row>
    <row r="29">
      <c r="A29" s="76" t="n"/>
      <c r="B29" s="77" t="n"/>
      <c r="C29" s="78" t="n"/>
      <c r="D29" s="493" t="n"/>
      <c r="E29" s="78" t="n"/>
      <c r="F29" s="79" t="n"/>
      <c r="G29" s="79" t="n"/>
      <c r="H29" s="78" t="n"/>
      <c r="I29" s="480" t="n"/>
      <c r="J29" s="481" t="n"/>
      <c r="K29" s="482" t="n"/>
      <c r="L29" s="482" t="n"/>
      <c r="M29" s="494" t="n"/>
      <c r="N29" s="437" t="n"/>
    </row>
    <row r="30">
      <c r="A30" s="20" t="n"/>
      <c r="B30" s="21" t="n"/>
      <c r="C30" s="22" t="n"/>
      <c r="D30" s="21" t="n"/>
      <c r="E30" s="21" t="n"/>
      <c r="F30" s="21" t="n"/>
      <c r="G30" s="21" t="n"/>
      <c r="H30" s="21" t="n"/>
      <c r="I30" s="465" t="n"/>
      <c r="J30" s="469" t="n"/>
      <c r="K30" s="470" t="n"/>
      <c r="L30" s="470" t="n"/>
      <c r="M30" s="470" t="n"/>
      <c r="N30" s="437" t="n"/>
    </row>
    <row r="31">
      <c r="A31" s="20" t="n"/>
      <c r="B31" s="21" t="n"/>
      <c r="C31" s="22" t="n"/>
      <c r="D31" s="21" t="n"/>
      <c r="E31" s="21" t="n"/>
      <c r="F31" s="21" t="n"/>
      <c r="G31" s="21" t="n"/>
      <c r="H31" s="21" t="n"/>
      <c r="J31" s="469" t="n"/>
      <c r="K31" s="470" t="n"/>
      <c r="L31" s="470" t="n"/>
    </row>
    <row r="32">
      <c r="A32" s="20" t="n"/>
      <c r="B32" s="21" t="n"/>
      <c r="C32" s="22" t="n"/>
      <c r="D32" s="21" t="n"/>
      <c r="E32" s="21" t="n"/>
      <c r="F32" s="21" t="n"/>
      <c r="G32" s="21" t="n"/>
      <c r="H32" s="21" t="n"/>
      <c r="J32" s="469" t="n"/>
      <c r="K32" s="470" t="n"/>
      <c r="L32" s="470" t="n"/>
      <c r="M32" s="473" t="n"/>
    </row>
    <row r="33">
      <c r="A33" s="20" t="n"/>
      <c r="B33" s="21" t="n"/>
      <c r="C33" s="22" t="n"/>
      <c r="D33" s="21" t="n"/>
      <c r="E33" s="21" t="n"/>
      <c r="F33" s="21" t="n"/>
      <c r="G33" s="21" t="n"/>
      <c r="H33" s="21" t="n"/>
      <c r="J33" s="469" t="n"/>
      <c r="K33" s="470" t="n"/>
      <c r="L33" s="470" t="n"/>
    </row>
    <row r="34">
      <c r="C34" s="30" t="n"/>
    </row>
    <row r="35">
      <c r="C35" s="30" t="n"/>
    </row>
    <row r="36">
      <c r="C36" s="30" t="n"/>
    </row>
    <row r="37">
      <c r="C37" s="30" t="n"/>
    </row>
    <row r="38">
      <c r="C38" s="30" t="n"/>
    </row>
    <row r="39">
      <c r="C39" s="30" t="n"/>
    </row>
    <row r="40">
      <c r="C40" s="30" t="n"/>
      <c r="M40" s="472">
        <f>SUM(M2:M39)</f>
        <v/>
      </c>
      <c r="N40" s="472">
        <f>SUM(N2:N39)</f>
        <v/>
      </c>
    </row>
    <row r="41">
      <c r="C41" s="30" t="n"/>
    </row>
    <row r="42">
      <c r="C42" s="3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34"/>
  <sheetViews>
    <sheetView zoomScale="50" zoomScaleNormal="50" workbookViewId="0">
      <selection activeCell="D7" sqref="D7"/>
    </sheetView>
  </sheetViews>
  <sheetFormatPr baseColWidth="8" defaultColWidth="8.75" defaultRowHeight="15"/>
  <cols>
    <col width="9" customWidth="1" style="29" min="1" max="1"/>
    <col width="60.75" customWidth="1" min="3" max="3"/>
    <col width="27.75" customWidth="1" min="4" max="4"/>
    <col width="9" bestFit="1" customWidth="1" min="5" max="7"/>
    <col width="11.5" bestFit="1" customWidth="1" min="8" max="8"/>
    <col width="9.5" customWidth="1" min="9" max="9"/>
    <col width="31.875" customWidth="1" style="423" min="10" max="10"/>
    <col width="9" bestFit="1" customWidth="1" style="424" min="11" max="12"/>
    <col width="15.125" customWidth="1" style="424" min="13" max="13"/>
  </cols>
  <sheetData>
    <row r="1" ht="26.25" customHeight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5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Format="1" customHeight="1" s="112">
      <c r="A2" s="91" t="inlineStr">
        <is>
          <t>542985</t>
        </is>
      </c>
      <c r="B2" s="174" t="n">
        <v>0.2326388888888889</v>
      </c>
      <c r="C2" s="301" t="inlineStr">
        <is>
          <t>CX875 &gt; TST</t>
        </is>
      </c>
      <c r="D2" s="454" t="inlineStr">
        <is>
          <t>Stanley LJ9800 9828 6100</t>
        </is>
      </c>
      <c r="E2" s="39" t="inlineStr">
        <is>
          <t>Done</t>
        </is>
      </c>
      <c r="F2" s="40" t="n">
        <v>0.2951388888888889</v>
      </c>
      <c r="G2" s="40" t="n">
        <v>0.3159722222222222</v>
      </c>
      <c r="H2" s="449" t="n"/>
      <c r="I2" s="438" t="n"/>
      <c r="J2" s="446" t="inlineStr">
        <is>
          <t>P$35,ot$60</t>
        </is>
      </c>
      <c r="K2" s="488" t="n">
        <v>95</v>
      </c>
      <c r="L2" s="489" t="n">
        <v>400</v>
      </c>
      <c r="M2" s="437">
        <f>SUM(K2:L2)</f>
        <v/>
      </c>
      <c r="N2" s="437" t="n">
        <v>30</v>
      </c>
    </row>
    <row r="3" ht="17.25" customFormat="1" customHeight="1" s="6">
      <c r="A3" s="91" t="inlineStr">
        <is>
          <t>545040</t>
        </is>
      </c>
      <c r="B3" s="46" t="n">
        <v>0.3680555555555556</v>
      </c>
      <c r="C3" s="167" t="inlineStr">
        <is>
          <t>3V401 &gt; Cordis</t>
        </is>
      </c>
      <c r="D3" s="487" t="inlineStr">
        <is>
          <t>Cheuk WH9918 96695358</t>
        </is>
      </c>
      <c r="E3" s="46" t="inlineStr">
        <is>
          <t>Done</t>
        </is>
      </c>
      <c r="F3" s="40" t="n">
        <v>0.3958333333333333</v>
      </c>
      <c r="G3" s="40" t="n">
        <v>0.4166666666666667</v>
      </c>
      <c r="H3" s="39" t="n"/>
      <c r="I3" s="438" t="n"/>
      <c r="J3" s="438" t="inlineStr">
        <is>
          <t>P$35</t>
        </is>
      </c>
      <c r="K3" s="437" t="n">
        <v>35</v>
      </c>
      <c r="L3" s="436" t="n">
        <v>400</v>
      </c>
      <c r="M3" s="437">
        <f>SUM(K3:L3)</f>
        <v/>
      </c>
      <c r="N3" s="437" t="n">
        <v>30</v>
      </c>
    </row>
    <row r="4" ht="17.25" customFormat="1" customHeight="1" s="6">
      <c r="A4" s="91" t="inlineStr">
        <is>
          <t>545040</t>
        </is>
      </c>
      <c r="B4" s="46" t="n">
        <v>0.3680555555555556</v>
      </c>
      <c r="C4" s="167" t="inlineStr">
        <is>
          <t>3V401 &gt; Cordis</t>
        </is>
      </c>
      <c r="D4" s="487" t="inlineStr">
        <is>
          <t>Patrick TG1211 9318 2082</t>
        </is>
      </c>
      <c r="E4" s="46" t="inlineStr">
        <is>
          <t>Done</t>
        </is>
      </c>
      <c r="F4" s="40" t="n">
        <v>0.3958333333333333</v>
      </c>
      <c r="G4" s="40" t="n">
        <v>0.4166666666666667</v>
      </c>
      <c r="H4" s="39" t="n"/>
      <c r="I4" s="438" t="n"/>
      <c r="J4" s="438" t="inlineStr">
        <is>
          <t>P$35</t>
        </is>
      </c>
      <c r="K4" s="437" t="n">
        <v>35</v>
      </c>
      <c r="L4" s="436" t="n">
        <v>400</v>
      </c>
      <c r="M4" s="437">
        <f>SUM(K4:L4)</f>
        <v/>
      </c>
      <c r="N4" s="437" t="n">
        <v>30</v>
      </c>
    </row>
    <row r="5" ht="17.25" customFormat="1" customHeight="1" s="6">
      <c r="A5" s="91" t="inlineStr">
        <is>
          <t>544864</t>
        </is>
      </c>
      <c r="B5" s="46" t="n">
        <v>0.4270833333333333</v>
      </c>
      <c r="C5" s="167" t="inlineStr">
        <is>
          <t>Cordis &gt; AP</t>
        </is>
      </c>
      <c r="D5" s="440" t="inlineStr">
        <is>
          <t>Keith CK9898 9888 0261</t>
        </is>
      </c>
      <c r="E5" s="39" t="inlineStr">
        <is>
          <t>Done</t>
        </is>
      </c>
      <c r="F5" s="40" t="n">
        <v>0.4291666666666666</v>
      </c>
      <c r="G5" s="40" t="n">
        <v>0.45</v>
      </c>
      <c r="H5" s="39" t="n"/>
      <c r="I5" s="438" t="n"/>
      <c r="J5" s="438" t="n"/>
      <c r="K5" s="437" t="n"/>
      <c r="L5" s="436" t="n">
        <v>400</v>
      </c>
      <c r="M5" s="437">
        <f>SUM(K5:L5)</f>
        <v/>
      </c>
      <c r="N5" s="437" t="n">
        <v>30</v>
      </c>
    </row>
    <row r="6" ht="17.25" customFormat="1" customHeight="1" s="6">
      <c r="A6" s="91" t="inlineStr">
        <is>
          <t>545187</t>
        </is>
      </c>
      <c r="B6" s="46" t="n">
        <v>0.5</v>
      </c>
      <c r="C6" s="167" t="inlineStr">
        <is>
          <t>TST &gt; AP 急</t>
        </is>
      </c>
      <c r="D6" s="440" t="inlineStr">
        <is>
          <t>Kan LT1013 6696 7923</t>
        </is>
      </c>
      <c r="E6" s="46" t="inlineStr">
        <is>
          <t>Done</t>
        </is>
      </c>
      <c r="F6" s="40" t="n">
        <v>0.525</v>
      </c>
      <c r="G6" s="40" t="n">
        <v>0.5458333333333333</v>
      </c>
      <c r="H6" s="39" t="n"/>
      <c r="I6" s="438" t="n"/>
      <c r="J6" s="438" t="n"/>
      <c r="K6" s="437" t="n"/>
      <c r="L6" s="436" t="n">
        <v>400</v>
      </c>
      <c r="M6" s="437">
        <f>SUM(K6:L6)</f>
        <v/>
      </c>
      <c r="N6" s="437" t="n">
        <v>30</v>
      </c>
    </row>
    <row r="7" ht="17.25" customFormat="1" customHeight="1" s="6">
      <c r="A7" s="159" t="inlineStr">
        <is>
          <t>545080</t>
        </is>
      </c>
      <c r="B7" s="174" t="n">
        <v>0.5173611111111112</v>
      </c>
      <c r="C7" s="167" t="inlineStr">
        <is>
          <t>SQ882 &gt; 西營盤</t>
        </is>
      </c>
      <c r="D7" s="440" t="inlineStr">
        <is>
          <t>Keith CK9898 9888 0261</t>
        </is>
      </c>
      <c r="E7" s="165" t="inlineStr">
        <is>
          <t>Done</t>
        </is>
      </c>
      <c r="F7" s="166" t="n">
        <v>0.54375</v>
      </c>
      <c r="G7" s="166" t="n">
        <v>0.56875</v>
      </c>
      <c r="H7" s="495" t="n"/>
      <c r="I7" s="446" t="n"/>
      <c r="J7" s="446" t="inlineStr">
        <is>
          <t>西隧$40 , p$35</t>
        </is>
      </c>
      <c r="K7" s="448" t="n">
        <v>75</v>
      </c>
      <c r="L7" s="477" t="n">
        <v>460</v>
      </c>
      <c r="M7" s="448">
        <f>SUM(K7:L7)</f>
        <v/>
      </c>
      <c r="N7" s="437" t="n">
        <v>30</v>
      </c>
    </row>
    <row r="8" ht="17.25" customFormat="1" customHeight="1" s="6">
      <c r="A8" s="159" t="inlineStr">
        <is>
          <t>545081</t>
        </is>
      </c>
      <c r="B8" s="164" t="n">
        <v>0.7951388888888888</v>
      </c>
      <c r="C8" s="167" t="inlineStr">
        <is>
          <t>AY99 &gt; 西營盤</t>
        </is>
      </c>
      <c r="D8" s="425" t="inlineStr">
        <is>
          <t>Stanley LJ9800 9828 6100</t>
        </is>
      </c>
      <c r="E8" s="165" t="inlineStr">
        <is>
          <t>Done</t>
        </is>
      </c>
      <c r="F8" s="166" t="n">
        <v>0.7951388888888888</v>
      </c>
      <c r="G8" s="166" t="n">
        <v>0.8333333333333334</v>
      </c>
      <c r="H8" s="165" t="n"/>
      <c r="I8" s="446" t="n"/>
      <c r="J8" s="485" t="inlineStr">
        <is>
          <t>西隧$40</t>
        </is>
      </c>
      <c r="K8" s="448" t="n">
        <v>40</v>
      </c>
      <c r="L8" s="477" t="n">
        <v>460</v>
      </c>
      <c r="M8" s="448">
        <f>SUM(K8:L8)</f>
        <v/>
      </c>
      <c r="N8" s="437" t="n">
        <v>30</v>
      </c>
    </row>
    <row r="9" ht="17.25" customFormat="1" customHeight="1" s="6">
      <c r="A9" s="91" t="inlineStr">
        <is>
          <t>545026</t>
        </is>
      </c>
      <c r="B9" s="92" t="n">
        <v>0.75</v>
      </c>
      <c r="C9" s="167" t="inlineStr">
        <is>
          <t>PP6  on hire</t>
        </is>
      </c>
      <c r="D9" s="492" t="inlineStr">
        <is>
          <t>Keith CK9898 9888 0261</t>
        </is>
      </c>
      <c r="E9" s="39" t="inlineStr">
        <is>
          <t>Done</t>
        </is>
      </c>
      <c r="F9" s="40" t="n">
        <v>0.75</v>
      </c>
      <c r="G9" s="40" t="n">
        <v>0.8784722222222222</v>
      </c>
      <c r="H9" s="39" t="n"/>
      <c r="I9" s="438" t="n"/>
      <c r="J9" s="441" t="inlineStr">
        <is>
          <t>Min 4 hour on hire</t>
        </is>
      </c>
      <c r="K9" s="437" t="n"/>
      <c r="L9" s="436" t="n">
        <v>920</v>
      </c>
      <c r="M9" s="448">
        <f>SUM(K9:L9)</f>
        <v/>
      </c>
      <c r="N9" s="437" t="n">
        <v>30</v>
      </c>
      <c r="P9" s="6" t="inlineStr">
        <is>
          <t>PP6-club Lusitania- Conrad</t>
        </is>
      </c>
    </row>
    <row r="10" ht="17.25" customHeight="1">
      <c r="A10" s="91" t="n"/>
      <c r="B10" s="48" t="n"/>
      <c r="C10" s="167" t="n"/>
      <c r="D10" s="440" t="n"/>
      <c r="E10" s="39" t="n"/>
      <c r="F10" s="40" t="n"/>
      <c r="G10" s="40" t="n"/>
      <c r="H10" s="39" t="n"/>
      <c r="I10" s="438" t="n"/>
      <c r="J10" s="485" t="n"/>
      <c r="K10" s="437" t="n"/>
      <c r="L10" s="436" t="n"/>
      <c r="M10" s="448">
        <f>SUM(K10:L10)</f>
        <v/>
      </c>
      <c r="N10" s="437" t="n"/>
    </row>
    <row r="11" ht="17.25" customHeight="1">
      <c r="A11" s="91" t="n"/>
      <c r="B11" s="48" t="n"/>
      <c r="C11" s="39" t="n"/>
      <c r="D11" s="440" t="n"/>
      <c r="E11" s="39" t="n"/>
      <c r="F11" s="40" t="n"/>
      <c r="G11" s="40" t="n"/>
      <c r="H11" s="39" t="n"/>
      <c r="I11" s="438" t="n"/>
      <c r="J11" s="438" t="n"/>
      <c r="K11" s="437" t="n"/>
      <c r="L11" s="436" t="n"/>
      <c r="M11" s="448">
        <f>SUM(K11:L11)</f>
        <v/>
      </c>
      <c r="N11" s="437" t="n"/>
    </row>
    <row r="12" ht="17.25" customHeight="1">
      <c r="A12" s="91" t="n"/>
      <c r="B12" s="48" t="n"/>
      <c r="C12" s="39" t="n"/>
      <c r="D12" s="440" t="n"/>
      <c r="E12" s="39" t="n"/>
      <c r="F12" s="40" t="n"/>
      <c r="G12" s="40" t="n"/>
      <c r="H12" s="449" t="n"/>
      <c r="I12" s="438" t="n"/>
      <c r="J12" s="438" t="n"/>
      <c r="K12" s="437" t="n"/>
      <c r="L12" s="436" t="n"/>
      <c r="M12" s="448">
        <f>SUM(K12:L12)</f>
        <v/>
      </c>
      <c r="N12" s="437" t="n"/>
    </row>
    <row r="13">
      <c r="A13" s="59" t="n"/>
      <c r="B13" s="52" t="n"/>
      <c r="C13" s="39" t="n"/>
      <c r="D13" s="452" t="n"/>
      <c r="E13" s="53" t="n"/>
      <c r="F13" s="54" t="n"/>
      <c r="G13" s="54" t="n"/>
      <c r="H13" s="53" t="n"/>
      <c r="I13" s="453" t="n"/>
      <c r="J13" s="455" t="n"/>
      <c r="K13" s="451" t="n"/>
      <c r="L13" s="478" t="n"/>
      <c r="M13" s="448">
        <f>SUM(K13:L13)</f>
        <v/>
      </c>
      <c r="N13" s="437" t="n"/>
    </row>
    <row r="14">
      <c r="A14" s="45" t="n"/>
      <c r="B14" s="48" t="n"/>
      <c r="C14" s="39" t="n"/>
      <c r="D14" s="440" t="n"/>
      <c r="E14" s="39" t="n"/>
      <c r="F14" s="40" t="n"/>
      <c r="G14" s="40" t="n"/>
      <c r="H14" s="39" t="n"/>
      <c r="I14" s="438" t="n"/>
      <c r="J14" s="441" t="n"/>
      <c r="K14" s="437" t="n"/>
      <c r="L14" s="436" t="n"/>
      <c r="M14" s="448">
        <f>SUM(K14:L14)</f>
        <v/>
      </c>
      <c r="N14" s="437" t="n"/>
    </row>
    <row r="15">
      <c r="A15" s="45" t="n"/>
      <c r="B15" s="48" t="n"/>
      <c r="C15" s="39" t="n"/>
      <c r="D15" s="454" t="n"/>
      <c r="E15" s="39" t="n"/>
      <c r="F15" s="40" t="n"/>
      <c r="G15" s="40" t="n"/>
      <c r="H15" s="39" t="n"/>
      <c r="I15" s="438" t="n"/>
      <c r="J15" s="441" t="n"/>
      <c r="K15" s="437" t="n"/>
      <c r="L15" s="436" t="n"/>
      <c r="M15" s="448">
        <f>SUM(K15:L15)</f>
        <v/>
      </c>
      <c r="N15" s="437" t="n"/>
    </row>
    <row r="16">
      <c r="A16" s="47" t="n"/>
      <c r="B16" s="48" t="n"/>
      <c r="C16" s="39" t="n"/>
      <c r="D16" s="454" t="n"/>
      <c r="E16" s="39" t="n"/>
      <c r="F16" s="40" t="n"/>
      <c r="G16" s="40" t="n"/>
      <c r="H16" s="39" t="n"/>
      <c r="I16" s="438" t="n"/>
      <c r="J16" s="441" t="n"/>
      <c r="K16" s="437" t="n"/>
      <c r="L16" s="436" t="n"/>
      <c r="M16" s="448">
        <f>SUM(K16:L16)</f>
        <v/>
      </c>
      <c r="N16" s="437" t="n"/>
    </row>
    <row r="17">
      <c r="A17" s="45" t="n"/>
      <c r="B17" s="46" t="n"/>
      <c r="C17" s="39" t="n"/>
      <c r="D17" s="440" t="n"/>
      <c r="E17" s="39" t="n"/>
      <c r="F17" s="40" t="n"/>
      <c r="G17" s="40" t="n"/>
      <c r="H17" s="39" t="n"/>
      <c r="I17" s="438" t="n"/>
      <c r="J17" s="441" t="n"/>
      <c r="K17" s="437" t="n"/>
      <c r="L17" s="437" t="n"/>
      <c r="M17" s="448">
        <f>SUM(K17:L17)</f>
        <v/>
      </c>
      <c r="N17" s="437" t="n"/>
    </row>
    <row r="18">
      <c r="A18" s="1" t="n"/>
      <c r="B18" s="8" t="n"/>
      <c r="C18" s="53" t="n"/>
      <c r="D18" s="425" t="n"/>
      <c r="E18" s="53" t="n"/>
      <c r="F18" s="61" t="n"/>
      <c r="G18" s="61" t="n"/>
      <c r="H18" s="53" t="n"/>
      <c r="I18" s="453" t="n"/>
      <c r="J18" s="455" t="n"/>
      <c r="K18" s="451" t="n"/>
      <c r="L18" s="451" t="n"/>
      <c r="M18" s="448">
        <f>SUM(K18:L18)</f>
        <v/>
      </c>
      <c r="N18" s="437" t="n"/>
    </row>
    <row r="19">
      <c r="A19" s="51" t="n"/>
      <c r="B19" s="62" t="n"/>
      <c r="C19" s="53" t="n"/>
      <c r="D19" s="425" t="n"/>
      <c r="E19" s="53" t="n"/>
      <c r="F19" s="61" t="n"/>
      <c r="G19" s="61" t="n"/>
      <c r="H19" s="53" t="n"/>
      <c r="I19" s="453" t="n"/>
      <c r="J19" s="455" t="n"/>
      <c r="K19" s="451" t="n"/>
      <c r="L19" s="451" t="n"/>
      <c r="M19" s="448">
        <f>SUM(K19:L19)</f>
        <v/>
      </c>
      <c r="N19" s="437" t="n"/>
    </row>
    <row r="20">
      <c r="A20" s="51" t="n"/>
      <c r="B20" s="62" t="n"/>
      <c r="C20" s="53" t="n"/>
      <c r="D20" s="425" t="n"/>
      <c r="E20" s="53" t="n"/>
      <c r="F20" s="61" t="n"/>
      <c r="G20" s="61" t="n"/>
      <c r="H20" s="53" t="n"/>
      <c r="I20" s="453" t="n"/>
      <c r="J20" s="455" t="n"/>
      <c r="K20" s="451" t="n"/>
      <c r="L20" s="451" t="n"/>
      <c r="M20" s="448">
        <f>SUM(K20:L20)</f>
        <v/>
      </c>
      <c r="N20" s="437" t="n"/>
    </row>
    <row r="21">
      <c r="A21" s="51" t="n"/>
      <c r="B21" s="62" t="n"/>
      <c r="C21" s="53" t="n"/>
      <c r="D21" s="425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48">
        <f>SUM(K21:L21)</f>
        <v/>
      </c>
      <c r="N21" s="437" t="n"/>
    </row>
    <row r="22">
      <c r="A22" s="51" t="n"/>
      <c r="B22" s="62" t="n"/>
      <c r="C22" s="53" t="n"/>
      <c r="D22" s="425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48">
        <f>SUM(K22:L22)</f>
        <v/>
      </c>
      <c r="N22" s="437" t="n"/>
    </row>
    <row r="23">
      <c r="A23" s="51" t="n"/>
      <c r="B23" s="62" t="n"/>
      <c r="C23" s="53" t="n"/>
      <c r="D23" s="456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51" t="n"/>
      <c r="N23" s="437" t="n"/>
    </row>
    <row r="24">
      <c r="A24" s="51" t="n"/>
      <c r="B24" s="62" t="n"/>
      <c r="C24" s="53" t="n"/>
      <c r="D24" s="53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51" t="n"/>
      <c r="N24" s="437" t="n"/>
    </row>
    <row r="25">
      <c r="A25" s="51" t="n"/>
      <c r="B25" s="62" t="n"/>
      <c r="C25" s="53" t="n"/>
      <c r="D25" s="425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51" t="n"/>
      <c r="N25" s="437" t="n"/>
    </row>
    <row r="26">
      <c r="A26" s="51" t="n"/>
      <c r="B26" s="62" t="n"/>
      <c r="C26" s="53" t="n"/>
      <c r="D26" s="476" t="n"/>
      <c r="E26" s="53" t="n"/>
      <c r="F26" s="61" t="n"/>
      <c r="G26" s="61" t="n"/>
      <c r="H26" s="53" t="n"/>
      <c r="I26" s="453" t="n"/>
      <c r="J26" s="455" t="n"/>
      <c r="K26" s="451" t="n"/>
      <c r="L26" s="451" t="n"/>
      <c r="M26" s="451" t="n"/>
      <c r="N26" s="437" t="n"/>
    </row>
    <row r="27">
      <c r="A27" s="51" t="n"/>
      <c r="B27" s="62" t="n"/>
      <c r="C27" s="53" t="n"/>
      <c r="D27" s="425" t="n"/>
      <c r="E27" s="53" t="n"/>
      <c r="F27" s="61" t="n"/>
      <c r="G27" s="61" t="n"/>
      <c r="H27" s="53" t="n"/>
      <c r="I27" s="453" t="n"/>
      <c r="J27" s="455" t="n"/>
      <c r="K27" s="451" t="n"/>
      <c r="L27" s="451" t="n"/>
      <c r="M27" s="451" t="n"/>
      <c r="N27" s="437" t="n"/>
    </row>
    <row r="28">
      <c r="A28" s="51" t="n"/>
      <c r="B28" s="62" t="n"/>
      <c r="C28" s="53" t="n"/>
      <c r="D28" s="9" t="n"/>
      <c r="E28" s="53" t="n"/>
      <c r="F28" s="61" t="n"/>
      <c r="G28" s="61" t="n"/>
      <c r="H28" s="53" t="n"/>
      <c r="I28" s="453" t="n"/>
      <c r="J28" s="455" t="n"/>
      <c r="K28" s="451" t="n"/>
      <c r="L28" s="451" t="n"/>
      <c r="M28" s="451" t="n"/>
      <c r="N28" s="437" t="n"/>
    </row>
    <row r="29">
      <c r="A29" s="51" t="n"/>
      <c r="B29" s="62" t="n"/>
      <c r="C29" s="53" t="n"/>
      <c r="D29" s="425" t="n"/>
      <c r="E29" s="53" t="n"/>
      <c r="F29" s="61" t="n"/>
      <c r="G29" s="61" t="n"/>
      <c r="H29" s="53" t="n"/>
      <c r="I29" s="453" t="n"/>
      <c r="J29" s="455" t="n"/>
      <c r="K29" s="451" t="n"/>
      <c r="L29" s="451" t="n"/>
      <c r="M29" s="451" t="n"/>
      <c r="N29" s="437" t="n"/>
    </row>
    <row r="30">
      <c r="A30" s="51" t="n"/>
      <c r="B30" s="62" t="n"/>
      <c r="C30" s="53" t="n"/>
      <c r="D30" s="425" t="n"/>
      <c r="E30" s="53" t="n"/>
      <c r="F30" s="61" t="n"/>
      <c r="G30" s="61" t="n"/>
      <c r="H30" s="53" t="n"/>
      <c r="I30" s="453" t="n"/>
      <c r="J30" s="455" t="n"/>
      <c r="K30" s="451" t="n"/>
      <c r="L30" s="451" t="n"/>
      <c r="M30" s="451" t="n"/>
      <c r="N30" s="437" t="n"/>
    </row>
    <row r="31">
      <c r="A31" s="51" t="n"/>
      <c r="B31" s="62" t="n"/>
      <c r="C31" s="53" t="n"/>
      <c r="D31" s="456" t="n"/>
      <c r="E31" s="10" t="n"/>
      <c r="F31" s="61" t="n"/>
      <c r="G31" s="61" t="n"/>
      <c r="H31" s="10" t="n"/>
      <c r="I31" s="461" t="n"/>
      <c r="J31" s="458" t="n"/>
      <c r="K31" s="459" t="n"/>
      <c r="L31" s="459" t="n"/>
      <c r="M31" s="451" t="n"/>
      <c r="N31" s="437" t="n"/>
    </row>
    <row r="32">
      <c r="A32" s="14" t="n"/>
      <c r="B32" s="15" t="n"/>
      <c r="C32" s="10" t="n"/>
      <c r="D32" s="425" t="n"/>
      <c r="E32" s="10" t="n"/>
      <c r="F32" s="61" t="n"/>
      <c r="G32" s="61" t="n"/>
      <c r="H32" s="10" t="n"/>
      <c r="I32" s="461" t="n"/>
      <c r="J32" s="458" t="n"/>
      <c r="K32" s="459" t="n"/>
      <c r="L32" s="459" t="n"/>
      <c r="M32" s="451" t="n"/>
      <c r="N32" s="437" t="n"/>
    </row>
    <row r="33">
      <c r="A33" s="14" t="n"/>
      <c r="B33" s="15" t="n"/>
      <c r="C33" s="10" t="n"/>
      <c r="D33" s="460" t="n"/>
      <c r="E33" s="10" t="n"/>
      <c r="F33" s="61" t="n"/>
      <c r="G33" s="61" t="n"/>
      <c r="H33" s="10" t="n"/>
      <c r="I33" s="461" t="n"/>
      <c r="J33" s="458" t="n"/>
      <c r="K33" s="459" t="n"/>
      <c r="L33" s="459" t="n"/>
      <c r="M33" s="451" t="n"/>
      <c r="N33" s="437" t="n"/>
    </row>
    <row r="34">
      <c r="A34" s="14" t="n"/>
      <c r="B34" s="15" t="n"/>
      <c r="C34" s="10" t="n"/>
      <c r="D34" s="460" t="n"/>
      <c r="E34" s="10" t="n"/>
      <c r="F34" s="61" t="n"/>
      <c r="G34" s="61" t="n"/>
      <c r="H34" s="10" t="n"/>
      <c r="I34" s="461" t="n"/>
      <c r="J34" s="458" t="n"/>
      <c r="K34" s="459" t="n"/>
      <c r="L34" s="459" t="n"/>
      <c r="M34" s="451" t="n"/>
      <c r="N34" s="437" t="n"/>
    </row>
    <row r="35">
      <c r="A35" s="14" t="n"/>
      <c r="B35" s="15" t="n"/>
      <c r="C35" s="10" t="n"/>
      <c r="D35" s="425" t="n"/>
      <c r="E35" s="10" t="n"/>
      <c r="F35" s="61" t="n"/>
      <c r="G35" s="61" t="n"/>
      <c r="H35" s="10" t="n"/>
      <c r="I35" s="461" t="n"/>
      <c r="J35" s="458" t="n"/>
      <c r="K35" s="459" t="n"/>
      <c r="L35" s="459" t="n"/>
      <c r="M35" s="451" t="n"/>
      <c r="N35" s="437" t="n"/>
    </row>
    <row r="36">
      <c r="A36" s="17" t="n"/>
      <c r="B36" s="18" t="n"/>
      <c r="C36" s="10" t="n"/>
      <c r="D36" s="452" t="n"/>
      <c r="E36" s="10" t="n"/>
      <c r="F36" s="61" t="n"/>
      <c r="G36" s="61" t="n"/>
      <c r="H36" s="10" t="n"/>
      <c r="I36" s="461" t="n"/>
      <c r="J36" s="458" t="n"/>
      <c r="K36" s="459" t="n"/>
      <c r="L36" s="459" t="n"/>
      <c r="M36" s="451" t="n"/>
      <c r="N36" s="437" t="n"/>
    </row>
    <row r="37">
      <c r="A37" s="17" t="n"/>
      <c r="B37" s="18" t="n"/>
      <c r="C37" s="10" t="n"/>
      <c r="D37" s="452" t="n"/>
      <c r="E37" s="10" t="n"/>
      <c r="F37" s="61" t="n"/>
      <c r="G37" s="61" t="n"/>
      <c r="H37" s="10" t="n"/>
      <c r="I37" s="461" t="n"/>
      <c r="J37" s="458" t="n"/>
      <c r="K37" s="459" t="n"/>
      <c r="L37" s="459" t="n"/>
      <c r="M37" s="451" t="n"/>
      <c r="N37" s="437" t="n"/>
    </row>
    <row r="38">
      <c r="A38" s="17" t="n"/>
      <c r="B38" s="18" t="n"/>
      <c r="C38" s="10" t="n"/>
      <c r="D38" s="452" t="n"/>
      <c r="E38" s="10" t="n"/>
      <c r="F38" s="61" t="n"/>
      <c r="G38" s="61" t="n"/>
      <c r="H38" s="10" t="n"/>
      <c r="I38" s="461" t="n"/>
      <c r="J38" s="458" t="n"/>
      <c r="K38" s="459" t="n"/>
      <c r="L38" s="459" t="n"/>
      <c r="M38" s="451" t="n"/>
      <c r="N38" s="437" t="n"/>
    </row>
    <row r="39">
      <c r="A39" s="14" t="n"/>
      <c r="B39" s="15" t="n"/>
      <c r="C39" s="10" t="n"/>
      <c r="D39" s="476" t="n"/>
      <c r="E39" s="10" t="n"/>
      <c r="F39" s="61" t="n"/>
      <c r="G39" s="61" t="n"/>
      <c r="H39" s="10" t="n"/>
      <c r="I39" s="461" t="n"/>
      <c r="J39" s="458" t="n"/>
      <c r="K39" s="459" t="n"/>
      <c r="L39" s="459" t="n"/>
      <c r="M39" s="451" t="n"/>
      <c r="N39" s="437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9" t="n"/>
      <c r="K40" s="470" t="n"/>
      <c r="L40" s="470" t="n"/>
      <c r="M40" s="472">
        <f>SUM(M2:M39)</f>
        <v/>
      </c>
      <c r="N40" s="472">
        <f>SUM(N2:N39)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9" t="n"/>
      <c r="K41" s="470" t="n"/>
      <c r="L41" s="470" t="n"/>
      <c r="M41" s="473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9" t="n"/>
      <c r="K42" s="470" t="n"/>
      <c r="L42" s="47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autoFilter ref="A1:N39">
    <sortState ref="A2:N39">
      <sortCondition ref="B1:B39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27"/>
  <sheetViews>
    <sheetView topLeftCell="C1" zoomScale="60" zoomScaleNormal="60" workbookViewId="0">
      <selection activeCell="D2" sqref="D2"/>
    </sheetView>
  </sheetViews>
  <sheetFormatPr baseColWidth="8" defaultColWidth="8.75" defaultRowHeight="15"/>
  <cols>
    <col width="10.375" customWidth="1" style="29" min="1" max="1"/>
    <col width="11.875" bestFit="1" customWidth="1" min="2" max="2"/>
    <col width="63.125" customWidth="1" min="3" max="3"/>
    <col width="27.75" customWidth="1" min="4" max="4"/>
    <col width="9" bestFit="1" customWidth="1" min="5" max="7"/>
    <col width="11.5" bestFit="1" customWidth="1" min="8" max="8"/>
    <col width="9.5" customWidth="1" min="9" max="9"/>
    <col width="31.875" customWidth="1" style="423" min="10" max="10"/>
    <col width="9" bestFit="1" customWidth="1" style="424" min="11" max="12"/>
    <col width="15.125" customWidth="1" style="424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96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Format="1" customHeight="1" s="6">
      <c r="A2" s="155" t="inlineStr">
        <is>
          <t>545265</t>
        </is>
      </c>
      <c r="B2" s="255" t="n">
        <v>0.2430555555555556</v>
      </c>
      <c r="C2" s="39" t="inlineStr">
        <is>
          <t>QY516 &gt; Cordis</t>
        </is>
      </c>
      <c r="D2" s="425" t="inlineStr">
        <is>
          <t>Stanley LJ9800 9828 6100</t>
        </is>
      </c>
      <c r="E2" s="39" t="inlineStr">
        <is>
          <t>Done</t>
        </is>
      </c>
      <c r="F2" s="40" t="n">
        <v>0.28125</v>
      </c>
      <c r="G2" s="40" t="n">
        <v>0.3020833333333333</v>
      </c>
      <c r="H2" s="449" t="n"/>
      <c r="I2" s="438" t="n"/>
      <c r="J2" s="485" t="inlineStr">
        <is>
          <t>P$35,ot$60</t>
        </is>
      </c>
      <c r="K2" s="448" t="n">
        <v>95</v>
      </c>
      <c r="L2" s="477" t="n">
        <v>400</v>
      </c>
      <c r="M2" s="448">
        <f>SUM(K2:L2)</f>
        <v/>
      </c>
      <c r="N2" s="437" t="n">
        <v>30</v>
      </c>
    </row>
    <row r="3" ht="17.25" customFormat="1" customHeight="1" s="6">
      <c r="A3" s="155" t="inlineStr">
        <is>
          <t>544834</t>
        </is>
      </c>
      <c r="B3" s="255" t="n">
        <v>0.1805555555555556</v>
      </c>
      <c r="C3" s="39" t="inlineStr">
        <is>
          <t>MB376 &gt; TST</t>
        </is>
      </c>
      <c r="D3" s="440" t="inlineStr">
        <is>
          <t>Ricky ZJ6071 5108 9715</t>
        </is>
      </c>
      <c r="E3" s="39" t="inlineStr">
        <is>
          <t>Done</t>
        </is>
      </c>
      <c r="F3" s="40" t="n">
        <v>0.1979166666666667</v>
      </c>
      <c r="G3" s="40" t="n">
        <v>0.21875</v>
      </c>
      <c r="H3" s="39" t="n"/>
      <c r="I3" s="438" t="n"/>
      <c r="J3" s="485" t="inlineStr">
        <is>
          <t>P$35,ot$60</t>
        </is>
      </c>
      <c r="K3" s="448" t="n">
        <v>95</v>
      </c>
      <c r="L3" s="477" t="n">
        <v>400</v>
      </c>
      <c r="M3" s="448">
        <f>SUM(K3:L3)</f>
        <v/>
      </c>
      <c r="N3" s="437" t="n">
        <v>30</v>
      </c>
    </row>
    <row r="4" ht="17.25" customFormat="1" customHeight="1" s="6">
      <c r="A4" s="155" t="inlineStr">
        <is>
          <t>544834</t>
        </is>
      </c>
      <c r="B4" s="255" t="n">
        <v>0.1805555555555556</v>
      </c>
      <c r="C4" s="39" t="inlineStr">
        <is>
          <t>MB376 &gt; TST</t>
        </is>
      </c>
      <c r="D4" s="440" t="inlineStr">
        <is>
          <t>Stanley LJ9800 9828 6100</t>
        </is>
      </c>
      <c r="E4" s="39" t="inlineStr">
        <is>
          <t>Done</t>
        </is>
      </c>
      <c r="F4" s="40" t="n">
        <v>0.1979166666666667</v>
      </c>
      <c r="G4" s="40" t="n">
        <v>0.21875</v>
      </c>
      <c r="H4" s="39" t="n"/>
      <c r="I4" s="438" t="n"/>
      <c r="J4" s="485" t="inlineStr">
        <is>
          <t>P$35,ot$60</t>
        </is>
      </c>
      <c r="K4" s="448" t="n">
        <v>95</v>
      </c>
      <c r="L4" s="477" t="n">
        <v>400</v>
      </c>
      <c r="M4" s="448">
        <f>SUM(K4:L4)</f>
        <v/>
      </c>
      <c r="N4" s="437" t="n">
        <v>30</v>
      </c>
    </row>
    <row r="5" ht="17.25" customFormat="1" customHeight="1" s="6">
      <c r="A5" s="155" t="inlineStr">
        <is>
          <t>545031</t>
        </is>
      </c>
      <c r="B5" s="255" t="n">
        <v>0.2916666666666667</v>
      </c>
      <c r="C5" s="39" t="inlineStr">
        <is>
          <t>Cordis &gt; AP</t>
        </is>
      </c>
      <c r="D5" s="497" t="inlineStr">
        <is>
          <t>Ricky ZJ6071 5108 9715</t>
        </is>
      </c>
      <c r="E5" s="39" t="inlineStr">
        <is>
          <t>Done</t>
        </is>
      </c>
      <c r="F5" s="40" t="n">
        <v>0.2916666666666667</v>
      </c>
      <c r="G5" s="40" t="n">
        <v>0.3125</v>
      </c>
      <c r="H5" s="39" t="n"/>
      <c r="I5" s="438" t="n"/>
      <c r="J5" s="455" t="n"/>
      <c r="K5" s="451" t="n"/>
      <c r="L5" s="478" t="n">
        <v>400</v>
      </c>
      <c r="M5" s="448">
        <f>SUM(K5:L5)</f>
        <v/>
      </c>
      <c r="N5" s="437" t="n">
        <v>30</v>
      </c>
    </row>
    <row r="6" ht="17.25" customFormat="1" customHeight="1" s="6">
      <c r="A6" s="155" t="inlineStr">
        <is>
          <t>544835</t>
        </is>
      </c>
      <c r="B6" s="255" t="n">
        <v>0.3993055555555556</v>
      </c>
      <c r="C6" s="39" t="inlineStr">
        <is>
          <t>TST &gt; AP</t>
        </is>
      </c>
      <c r="D6" s="498" t="inlineStr">
        <is>
          <t>Abble RN377 9551 4488</t>
        </is>
      </c>
      <c r="E6" s="53" t="inlineStr">
        <is>
          <t>Done</t>
        </is>
      </c>
      <c r="F6" s="54" t="n">
        <v>0.3993055555555556</v>
      </c>
      <c r="G6" s="54" t="n">
        <v>0.4201388888888889</v>
      </c>
      <c r="H6" s="53" t="n"/>
      <c r="I6" s="453" t="n"/>
      <c r="J6" s="455" t="n"/>
      <c r="K6" s="451" t="n"/>
      <c r="L6" s="478" t="n">
        <v>400</v>
      </c>
      <c r="M6" s="448">
        <f>SUM(K6:L6)</f>
        <v/>
      </c>
      <c r="N6" s="437" t="n">
        <v>30</v>
      </c>
    </row>
    <row r="7" ht="17.25" customFormat="1" customHeight="1" s="88">
      <c r="A7" s="155" t="inlineStr">
        <is>
          <t>540243</t>
        </is>
      </c>
      <c r="B7" s="255" t="n">
        <v>0.4583333333333333</v>
      </c>
      <c r="C7" s="39" t="inlineStr">
        <is>
          <t>港香 &gt; AP</t>
        </is>
      </c>
      <c r="D7" s="259" t="inlineStr">
        <is>
          <t>Abble RN377 9551 4488</t>
        </is>
      </c>
      <c r="E7" s="87" t="inlineStr">
        <is>
          <t>Done</t>
        </is>
      </c>
      <c r="F7" s="54" t="n">
        <v>0.4583333333333333</v>
      </c>
      <c r="G7" s="54" t="n">
        <v>0.4791666666666667</v>
      </c>
      <c r="H7" s="457" t="n"/>
      <c r="I7" s="453" t="n"/>
      <c r="J7" s="455" t="inlineStr">
        <is>
          <t>西隧$40</t>
        </is>
      </c>
      <c r="K7" s="451" t="n">
        <v>40</v>
      </c>
      <c r="L7" s="478" t="n">
        <v>460</v>
      </c>
      <c r="M7" s="448">
        <f>SUM(K7:L7)</f>
        <v/>
      </c>
      <c r="N7" s="437" t="n">
        <v>30</v>
      </c>
      <c r="O7" s="274" t="n"/>
      <c r="P7" s="274" t="n"/>
    </row>
    <row r="8" ht="13.5" customFormat="1" customHeight="1" s="71">
      <c r="A8" s="155" t="inlineStr">
        <is>
          <t>544833</t>
        </is>
      </c>
      <c r="B8" s="154" t="n">
        <v>0.3333333333333333</v>
      </c>
      <c r="C8" s="260" t="inlineStr">
        <is>
          <t>TST &gt; AP</t>
        </is>
      </c>
      <c r="D8" s="440" t="inlineStr">
        <is>
          <t>Keith CK9898 9888 0261</t>
        </is>
      </c>
      <c r="E8" s="87" t="inlineStr">
        <is>
          <t>Done</t>
        </is>
      </c>
      <c r="F8" s="166" t="n">
        <v>0.3284722222222222</v>
      </c>
      <c r="G8" s="166" t="n">
        <v>0.3493055555555555</v>
      </c>
      <c r="H8" s="53" t="n"/>
      <c r="I8" s="453" t="n"/>
      <c r="J8" s="455" t="n"/>
      <c r="K8" s="451" t="n"/>
      <c r="L8" s="478" t="n">
        <v>400</v>
      </c>
      <c r="M8" s="448">
        <f>SUM(K8:L8)</f>
        <v/>
      </c>
      <c r="N8" s="437" t="n">
        <v>30</v>
      </c>
      <c r="O8" s="152" t="n"/>
      <c r="P8" s="152" t="n"/>
    </row>
    <row r="9" ht="17.25" customFormat="1" customHeight="1" s="6">
      <c r="A9" s="155" t="inlineStr">
        <is>
          <t>544521</t>
        </is>
      </c>
      <c r="B9" s="154" t="n">
        <v>0.4166666666666667</v>
      </c>
      <c r="C9" s="260" t="inlineStr">
        <is>
          <t>銅鑼灣 &gt; AP</t>
        </is>
      </c>
      <c r="D9" s="499" t="inlineStr">
        <is>
          <t>Keith CK9898 9888 0261</t>
        </is>
      </c>
      <c r="E9" s="53" t="inlineStr">
        <is>
          <t>Done</t>
        </is>
      </c>
      <c r="F9" s="166" t="n">
        <v>0.3958333333333333</v>
      </c>
      <c r="G9" s="166" t="n">
        <v>0.4236111111111111</v>
      </c>
      <c r="H9" s="53" t="n"/>
      <c r="I9" s="453" t="n"/>
      <c r="J9" s="455" t="inlineStr">
        <is>
          <t>西隧$40</t>
        </is>
      </c>
      <c r="K9" s="451" t="n">
        <v>40</v>
      </c>
      <c r="L9" s="478" t="n">
        <v>460</v>
      </c>
      <c r="M9" s="448">
        <f>SUM(K9:L9)</f>
        <v/>
      </c>
      <c r="N9" s="437" t="n">
        <v>30</v>
      </c>
    </row>
    <row r="10" ht="17.25" customFormat="1" customHeight="1" s="112">
      <c r="A10" s="91" t="inlineStr">
        <is>
          <t>544314</t>
        </is>
      </c>
      <c r="B10" s="91" t="inlineStr">
        <is>
          <t>10:30</t>
        </is>
      </c>
      <c r="C10" s="39" t="inlineStr">
        <is>
          <t>港麗 &gt; AP</t>
        </is>
      </c>
      <c r="D10" s="440" t="inlineStr">
        <is>
          <t>Ricky ZJ6071 5108 9715</t>
        </is>
      </c>
      <c r="E10" s="39" t="inlineStr">
        <is>
          <t>Done</t>
        </is>
      </c>
      <c r="F10" s="40" t="n">
        <v>0.4555555555555555</v>
      </c>
      <c r="G10" s="40" t="n">
        <v>0.4819444444444445</v>
      </c>
      <c r="H10" s="39" t="n"/>
      <c r="I10" s="438" t="n"/>
      <c r="J10" s="485" t="inlineStr">
        <is>
          <t>西隧$40</t>
        </is>
      </c>
      <c r="K10" s="448" t="n">
        <v>40</v>
      </c>
      <c r="L10" s="436" t="n">
        <v>460</v>
      </c>
      <c r="M10" s="448">
        <f>SUM(K10:L10)</f>
        <v/>
      </c>
      <c r="N10" s="437" t="n">
        <v>30</v>
      </c>
    </row>
    <row r="11" ht="17.25" customFormat="1" customHeight="1" s="6">
      <c r="A11" s="59" t="n"/>
      <c r="B11" s="52" t="n"/>
      <c r="C11" s="53" t="n"/>
      <c r="D11" s="500" t="n"/>
      <c r="E11" s="53" t="n"/>
      <c r="F11" s="54" t="n"/>
      <c r="G11" s="54" t="n"/>
      <c r="H11" s="53" t="n"/>
      <c r="I11" s="453" t="n"/>
      <c r="J11" s="455" t="n"/>
      <c r="K11" s="451" t="n"/>
      <c r="L11" s="478" t="n"/>
      <c r="M11" s="448">
        <f>SUM(K11:L11)</f>
        <v/>
      </c>
      <c r="N11" s="437" t="n"/>
    </row>
    <row r="12" ht="17.25" customFormat="1" customHeight="1" s="6">
      <c r="A12" s="51" t="n"/>
      <c r="B12" s="62" t="n"/>
      <c r="C12" s="53" t="n"/>
      <c r="D12" s="452" t="n"/>
      <c r="E12" s="53" t="n"/>
      <c r="F12" s="54" t="n"/>
      <c r="G12" s="54" t="n"/>
      <c r="H12" s="53" t="n"/>
      <c r="I12" s="453" t="n"/>
      <c r="J12" s="455" t="n"/>
      <c r="K12" s="451" t="n"/>
      <c r="L12" s="451" t="n"/>
      <c r="M12" s="448">
        <f>SUM(K12:L12)</f>
        <v/>
      </c>
      <c r="N12" s="437" t="n"/>
    </row>
    <row r="13" ht="17.25" customHeight="1">
      <c r="A13" s="1" t="n"/>
      <c r="B13" s="8" t="n"/>
      <c r="C13" s="53" t="n"/>
      <c r="D13" s="425" t="n"/>
      <c r="E13" s="53" t="n"/>
      <c r="F13" s="61" t="n"/>
      <c r="G13" s="61" t="n"/>
      <c r="H13" s="53" t="n"/>
      <c r="I13" s="453" t="n"/>
      <c r="J13" s="455" t="n"/>
      <c r="K13" s="451" t="n"/>
      <c r="L13" s="451" t="n"/>
      <c r="M13" s="448">
        <f>SUM(K13:L13)</f>
        <v/>
      </c>
      <c r="N13" s="437" t="n"/>
    </row>
    <row r="14" ht="17.25" customHeight="1">
      <c r="A14" s="51" t="n"/>
      <c r="B14" s="62" t="n"/>
      <c r="C14" s="53" t="n"/>
      <c r="D14" s="425" t="n"/>
      <c r="E14" s="53" t="n"/>
      <c r="F14" s="61" t="n"/>
      <c r="G14" s="61" t="n"/>
      <c r="H14" s="53" t="n"/>
      <c r="I14" s="453" t="n"/>
      <c r="J14" s="455" t="n"/>
      <c r="K14" s="451" t="n"/>
      <c r="L14" s="451" t="n"/>
      <c r="M14" s="448">
        <f>SUM(K14:L14)</f>
        <v/>
      </c>
      <c r="N14" s="437" t="n"/>
    </row>
    <row r="15" ht="17.25" customFormat="1" customHeight="1" s="6">
      <c r="A15" s="45" t="n"/>
      <c r="B15" s="48" t="n"/>
      <c r="C15" s="39" t="n"/>
      <c r="D15" s="501" t="n"/>
      <c r="E15" s="39" t="n"/>
      <c r="F15" s="40" t="n"/>
      <c r="G15" s="40" t="n"/>
      <c r="H15" s="39" t="n"/>
      <c r="I15" s="438" t="n"/>
      <c r="J15" s="441" t="n"/>
      <c r="K15" s="437" t="n"/>
      <c r="L15" s="436" t="n"/>
      <c r="M15" s="448">
        <f>SUM(K15:L15)</f>
        <v/>
      </c>
      <c r="N15" s="437" t="n"/>
    </row>
    <row r="16" ht="17.25" customHeight="1">
      <c r="A16" s="51" t="n"/>
      <c r="B16" s="62" t="n"/>
      <c r="C16" s="53" t="n"/>
      <c r="D16" s="425" t="n"/>
      <c r="E16" s="53" t="n"/>
      <c r="F16" s="61" t="n"/>
      <c r="G16" s="61" t="n"/>
      <c r="H16" s="53" t="n"/>
      <c r="I16" s="453" t="n"/>
      <c r="J16" s="455" t="n"/>
      <c r="K16" s="451" t="n"/>
      <c r="L16" s="451" t="n"/>
      <c r="M16" s="448">
        <f>SUM(K16:L16)</f>
        <v/>
      </c>
      <c r="N16" s="437" t="n"/>
    </row>
    <row r="17" ht="17.25" customHeight="1">
      <c r="A17" s="51" t="n"/>
      <c r="B17" s="62" t="n"/>
      <c r="C17" s="53" t="n"/>
      <c r="D17" s="425" t="n"/>
      <c r="E17" s="53" t="n"/>
      <c r="F17" s="61" t="n"/>
      <c r="G17" s="61" t="n"/>
      <c r="H17" s="53" t="n"/>
      <c r="I17" s="453" t="n"/>
      <c r="J17" s="455" t="n"/>
      <c r="K17" s="451" t="n"/>
      <c r="L17" s="451" t="n"/>
      <c r="M17" s="448">
        <f>SUM(K17:L17)</f>
        <v/>
      </c>
      <c r="N17" s="437" t="n"/>
    </row>
    <row r="18" ht="17.25" customHeight="1">
      <c r="A18" s="51" t="n"/>
      <c r="B18" s="62" t="n"/>
      <c r="C18" s="53" t="n"/>
      <c r="D18" s="456" t="n"/>
      <c r="E18" s="53" t="n"/>
      <c r="F18" s="61" t="n"/>
      <c r="G18" s="61" t="n"/>
      <c r="H18" s="53" t="n"/>
      <c r="I18" s="453" t="n"/>
      <c r="J18" s="455" t="n"/>
      <c r="K18" s="451" t="n"/>
      <c r="L18" s="451" t="n"/>
      <c r="M18" s="448">
        <f>SUM(K18:L18)</f>
        <v/>
      </c>
      <c r="N18" s="437" t="n"/>
    </row>
    <row r="19" ht="17.25" customHeight="1">
      <c r="A19" s="51" t="n"/>
      <c r="B19" s="62" t="n"/>
      <c r="C19" s="53" t="n"/>
      <c r="D19" s="53" t="n"/>
      <c r="E19" s="53" t="n"/>
      <c r="F19" s="61" t="n"/>
      <c r="G19" s="61" t="n"/>
      <c r="H19" s="53" t="n"/>
      <c r="I19" s="453" t="n"/>
      <c r="J19" s="455" t="n"/>
      <c r="K19" s="451" t="n"/>
      <c r="L19" s="451" t="n"/>
      <c r="M19" s="448">
        <f>SUM(K19:L19)</f>
        <v/>
      </c>
      <c r="N19" s="437" t="n"/>
    </row>
    <row r="20" ht="17.25" customHeight="1">
      <c r="A20" s="51" t="n"/>
      <c r="B20" s="62" t="n"/>
      <c r="C20" s="53" t="n"/>
      <c r="D20" s="425" t="n"/>
      <c r="E20" s="53" t="n"/>
      <c r="F20" s="61" t="n"/>
      <c r="G20" s="61" t="n"/>
      <c r="H20" s="53" t="n"/>
      <c r="I20" s="453" t="n"/>
      <c r="J20" s="455" t="n"/>
      <c r="K20" s="451" t="n"/>
      <c r="L20" s="451" t="n"/>
      <c r="M20" s="448">
        <f>SUM(K20:L20)</f>
        <v/>
      </c>
      <c r="N20" s="437" t="n"/>
    </row>
    <row r="21" ht="17.25" customHeight="1">
      <c r="A21" s="51" t="n"/>
      <c r="B21" s="62" t="n"/>
      <c r="C21" s="53" t="n"/>
      <c r="D21" s="476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48">
        <f>SUM(K21:L21)</f>
        <v/>
      </c>
      <c r="N21" s="437" t="n"/>
    </row>
    <row r="22" ht="17.25" customHeight="1">
      <c r="A22" s="51" t="n"/>
      <c r="B22" s="62" t="n"/>
      <c r="C22" s="53" t="n"/>
      <c r="D22" s="425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48">
        <f>SUM(K22:L22)</f>
        <v/>
      </c>
      <c r="N22" s="437" t="n"/>
    </row>
    <row r="23" ht="17.25" customHeight="1">
      <c r="A23" s="51" t="n"/>
      <c r="B23" s="62" t="n"/>
      <c r="C23" s="53" t="n"/>
      <c r="D23" s="9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48">
        <f>SUM(K23:L23)</f>
        <v/>
      </c>
      <c r="N23" s="437" t="n"/>
    </row>
    <row r="24">
      <c r="A24" s="51" t="n"/>
      <c r="B24" s="62" t="n"/>
      <c r="C24" s="53" t="n"/>
      <c r="D24" s="425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48">
        <f>SUM(K24:L24)</f>
        <v/>
      </c>
      <c r="N24" s="437" t="n"/>
    </row>
    <row r="25">
      <c r="A25" s="51" t="n"/>
      <c r="B25" s="62" t="n"/>
      <c r="C25" s="53" t="n"/>
      <c r="D25" s="425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48">
        <f>SUM(K25:L25)</f>
        <v/>
      </c>
      <c r="N25" s="437" t="n"/>
    </row>
    <row r="26">
      <c r="A26" s="51" t="n"/>
      <c r="B26" s="62" t="n"/>
      <c r="C26" s="53" t="n"/>
      <c r="D26" s="456" t="n"/>
      <c r="E26" s="10" t="n"/>
      <c r="F26" s="61" t="n"/>
      <c r="G26" s="61" t="n"/>
      <c r="H26" s="10" t="n"/>
      <c r="I26" s="461" t="n"/>
      <c r="J26" s="458" t="n"/>
      <c r="K26" s="459" t="n"/>
      <c r="L26" s="459" t="n"/>
      <c r="M26" s="448">
        <f>SUM(K26:L26)</f>
        <v/>
      </c>
      <c r="N26" s="437" t="n"/>
    </row>
    <row r="27">
      <c r="A27" s="14" t="n"/>
      <c r="B27" s="15" t="n"/>
      <c r="C27" s="53" t="n"/>
      <c r="D27" s="425" t="n"/>
      <c r="E27" s="10" t="n"/>
      <c r="F27" s="61" t="n"/>
      <c r="G27" s="61" t="n"/>
      <c r="H27" s="10" t="n"/>
      <c r="I27" s="461" t="n"/>
      <c r="J27" s="458" t="n"/>
      <c r="K27" s="459" t="n"/>
      <c r="L27" s="459" t="n"/>
      <c r="M27" s="448">
        <f>SUM(K27:L27)</f>
        <v/>
      </c>
      <c r="N27" s="437" t="n"/>
    </row>
    <row r="28">
      <c r="A28" s="14" t="n"/>
      <c r="B28" s="15" t="n"/>
      <c r="C28" s="53" t="n"/>
      <c r="D28" s="460" t="n"/>
      <c r="E28" s="10" t="n"/>
      <c r="F28" s="61" t="n"/>
      <c r="G28" s="61" t="n"/>
      <c r="H28" s="10" t="n"/>
      <c r="I28" s="461" t="n"/>
      <c r="J28" s="458" t="n"/>
      <c r="K28" s="459" t="n"/>
      <c r="L28" s="459" t="n"/>
      <c r="M28" s="448">
        <f>SUM(K28:L28)</f>
        <v/>
      </c>
      <c r="N28" s="437" t="n"/>
    </row>
    <row r="29">
      <c r="A29" s="14" t="n"/>
      <c r="B29" s="15" t="n"/>
      <c r="C29" s="53" t="n"/>
      <c r="D29" s="460" t="n"/>
      <c r="E29" s="10" t="n"/>
      <c r="F29" s="61" t="n"/>
      <c r="G29" s="61" t="n"/>
      <c r="H29" s="10" t="n"/>
      <c r="I29" s="461" t="n"/>
      <c r="J29" s="458" t="n"/>
      <c r="K29" s="459" t="n"/>
      <c r="L29" s="459" t="n"/>
      <c r="M29" s="448">
        <f>SUM(K29:L29)</f>
        <v/>
      </c>
      <c r="N29" s="437" t="n"/>
    </row>
    <row r="30">
      <c r="A30" s="14" t="n"/>
      <c r="B30" s="15" t="n"/>
      <c r="C30" s="53" t="n"/>
      <c r="D30" s="425" t="n"/>
      <c r="E30" s="10" t="n"/>
      <c r="F30" s="61" t="n"/>
      <c r="G30" s="61" t="n"/>
      <c r="H30" s="10" t="n"/>
      <c r="I30" s="461" t="n"/>
      <c r="J30" s="458" t="n"/>
      <c r="K30" s="459" t="n"/>
      <c r="L30" s="459" t="n"/>
      <c r="M30" s="448">
        <f>SUM(K30:L30)</f>
        <v/>
      </c>
      <c r="N30" s="437" t="n"/>
    </row>
    <row r="31">
      <c r="A31" s="20" t="n"/>
      <c r="B31" s="21" t="n"/>
      <c r="C31" s="53" t="n"/>
      <c r="D31" s="456" t="n"/>
      <c r="E31" s="10" t="n"/>
      <c r="F31" s="61" t="n"/>
      <c r="G31" s="61" t="n"/>
      <c r="H31" s="10" t="n"/>
      <c r="I31" s="461" t="n"/>
      <c r="J31" s="458" t="n"/>
      <c r="K31" s="459" t="n"/>
      <c r="L31" s="459" t="n"/>
      <c r="M31" s="448">
        <f>SUM(K31:L31)</f>
        <v/>
      </c>
      <c r="N31" s="437" t="n"/>
    </row>
    <row r="32">
      <c r="A32" s="20" t="n"/>
      <c r="B32" s="21" t="n"/>
      <c r="C32" s="53" t="n"/>
      <c r="D32" s="425" t="n"/>
      <c r="E32" s="10" t="n"/>
      <c r="F32" s="61" t="n"/>
      <c r="G32" s="61" t="n"/>
      <c r="H32" s="10" t="n"/>
      <c r="I32" s="461" t="n"/>
      <c r="J32" s="458" t="n"/>
      <c r="K32" s="459" t="n"/>
      <c r="L32" s="459" t="n"/>
      <c r="M32" s="448">
        <f>SUM(K32:L32)</f>
        <v/>
      </c>
      <c r="N32" s="437" t="n"/>
    </row>
    <row r="33">
      <c r="A33" s="20" t="n"/>
      <c r="B33" s="21" t="n"/>
      <c r="C33" s="53" t="n"/>
      <c r="D33" s="460" t="n"/>
      <c r="E33" s="10" t="n"/>
      <c r="F33" s="61" t="n"/>
      <c r="G33" s="61" t="n"/>
      <c r="H33" s="10" t="n"/>
      <c r="I33" s="461" t="n"/>
      <c r="J33" s="458" t="n"/>
      <c r="K33" s="459" t="n"/>
      <c r="L33" s="459" t="n"/>
      <c r="M33" s="448">
        <f>SUM(K33:L33)</f>
        <v/>
      </c>
      <c r="N33" s="437" t="n"/>
    </row>
    <row r="34">
      <c r="A34" s="20" t="n"/>
      <c r="B34" s="21" t="n"/>
      <c r="C34" s="53" t="n"/>
      <c r="D34" s="460" t="n"/>
      <c r="E34" s="10" t="n"/>
      <c r="F34" s="61" t="n"/>
      <c r="G34" s="61" t="n"/>
      <c r="H34" s="10" t="n"/>
      <c r="I34" s="461" t="n"/>
      <c r="J34" s="458" t="n"/>
      <c r="K34" s="459" t="n"/>
      <c r="L34" s="459" t="n"/>
      <c r="M34" s="448">
        <f>SUM(K34:L34)</f>
        <v/>
      </c>
      <c r="N34" s="437" t="n"/>
    </row>
    <row r="35">
      <c r="A35" s="20" t="n"/>
      <c r="B35" s="21" t="n"/>
      <c r="C35" s="53" t="n"/>
      <c r="D35" s="425" t="n"/>
      <c r="E35" s="10" t="n"/>
      <c r="F35" s="61" t="n"/>
      <c r="G35" s="61" t="n"/>
      <c r="H35" s="10" t="n"/>
      <c r="I35" s="461" t="n"/>
      <c r="J35" s="458" t="n"/>
      <c r="K35" s="459" t="n"/>
      <c r="L35" s="459" t="n"/>
      <c r="M35" s="448">
        <f>SUM(K35:L35)</f>
        <v/>
      </c>
      <c r="N35" s="437" t="n"/>
    </row>
    <row r="36">
      <c r="C36" s="53" t="n"/>
      <c r="D36" s="456" t="n"/>
      <c r="E36" s="10" t="n"/>
      <c r="F36" s="61" t="n"/>
      <c r="G36" s="61" t="n"/>
      <c r="H36" s="10" t="n"/>
      <c r="I36" s="461" t="n"/>
      <c r="J36" s="458" t="n"/>
      <c r="K36" s="459" t="n"/>
      <c r="L36" s="459" t="n"/>
      <c r="M36" s="448">
        <f>SUM(K36:L36)</f>
        <v/>
      </c>
      <c r="N36" s="437" t="n"/>
    </row>
    <row r="37">
      <c r="C37" s="53" t="n"/>
      <c r="D37" s="425" t="n"/>
      <c r="E37" s="10" t="n"/>
      <c r="F37" s="61" t="n"/>
      <c r="G37" s="61" t="n"/>
      <c r="H37" s="10" t="n"/>
      <c r="I37" s="461" t="n"/>
      <c r="J37" s="458" t="n"/>
      <c r="K37" s="459" t="n"/>
      <c r="L37" s="459" t="n"/>
      <c r="M37" s="448">
        <f>SUM(K37:L37)</f>
        <v/>
      </c>
      <c r="N37" s="437" t="n"/>
    </row>
    <row r="38">
      <c r="C38" s="53" t="n"/>
      <c r="D38" s="460" t="n"/>
      <c r="E38" s="10" t="n"/>
      <c r="F38" s="61" t="n"/>
      <c r="G38" s="61" t="n"/>
      <c r="H38" s="10" t="n"/>
      <c r="I38" s="461" t="n"/>
      <c r="J38" s="458" t="n"/>
      <c r="K38" s="459" t="n"/>
      <c r="L38" s="459" t="n"/>
      <c r="M38" s="448">
        <f>SUM(K38:L38)</f>
        <v/>
      </c>
      <c r="N38" s="437" t="n"/>
    </row>
    <row r="39">
      <c r="C39" s="53" t="n"/>
      <c r="D39" s="460" t="n"/>
      <c r="E39" s="10" t="n"/>
      <c r="F39" s="61" t="n"/>
      <c r="G39" s="61" t="n"/>
      <c r="H39" s="10" t="n"/>
      <c r="I39" s="461" t="n"/>
      <c r="J39" s="458" t="n"/>
      <c r="K39" s="459" t="n"/>
      <c r="L39" s="459" t="n"/>
      <c r="M39" s="448">
        <f>SUM(K39:L39)</f>
        <v/>
      </c>
      <c r="N39" s="437" t="n"/>
    </row>
    <row r="40">
      <c r="C40" s="415" t="n"/>
      <c r="M40" s="472">
        <f>SUM(M2:M39)</f>
        <v/>
      </c>
      <c r="N40" s="472">
        <f>SUM(N2:N39)</f>
        <v/>
      </c>
    </row>
    <row r="41">
      <c r="C41" s="102" t="n"/>
    </row>
    <row r="42">
      <c r="C42" s="102" t="n"/>
    </row>
    <row r="43">
      <c r="C43" s="102" t="n"/>
    </row>
    <row r="44">
      <c r="C44" s="102" t="n"/>
    </row>
    <row r="45">
      <c r="C45" s="102" t="n"/>
    </row>
    <row r="46">
      <c r="C46" s="102" t="n"/>
    </row>
    <row r="47">
      <c r="C47" s="102" t="n"/>
    </row>
    <row r="48">
      <c r="C48" s="102" t="n"/>
    </row>
    <row r="49">
      <c r="C49" s="102" t="n"/>
    </row>
    <row r="50">
      <c r="C50" s="102" t="n"/>
    </row>
    <row r="51">
      <c r="C51" s="102" t="n"/>
    </row>
    <row r="52">
      <c r="C52" s="102" t="n"/>
    </row>
    <row r="53">
      <c r="C53" s="102" t="n"/>
    </row>
    <row r="54">
      <c r="C54" s="102" t="n"/>
    </row>
    <row r="55">
      <c r="C55" s="102" t="n"/>
    </row>
    <row r="56">
      <c r="C56" s="102" t="n"/>
    </row>
    <row r="57">
      <c r="C57" s="102" t="n"/>
    </row>
    <row r="58">
      <c r="C58" s="102" t="n"/>
    </row>
    <row r="59">
      <c r="C59" s="102" t="n"/>
    </row>
    <row r="60">
      <c r="C60" s="102" t="n"/>
    </row>
    <row r="61">
      <c r="C61" s="102" t="n"/>
    </row>
    <row r="62">
      <c r="C62" s="102" t="n"/>
    </row>
    <row r="63">
      <c r="C63" s="102" t="n"/>
    </row>
    <row r="64">
      <c r="C64" s="102" t="n"/>
    </row>
    <row r="65">
      <c r="C65" s="102" t="n"/>
    </row>
    <row r="66">
      <c r="C66" s="102" t="n"/>
    </row>
    <row r="67">
      <c r="C67" s="102" t="n"/>
    </row>
    <row r="68">
      <c r="C68" s="102" t="n"/>
    </row>
    <row r="69">
      <c r="C69" s="102" t="n"/>
    </row>
    <row r="70">
      <c r="C70" s="102" t="n"/>
    </row>
    <row r="71">
      <c r="C71" s="102" t="n"/>
    </row>
    <row r="72">
      <c r="C72" s="102" t="n"/>
    </row>
    <row r="73">
      <c r="C73" s="102" t="n"/>
    </row>
    <row r="74">
      <c r="C74" s="102" t="n"/>
    </row>
    <row r="75">
      <c r="C75" s="102" t="n"/>
    </row>
    <row r="76">
      <c r="C76" s="102" t="n"/>
    </row>
    <row r="77">
      <c r="C77" s="102" t="n"/>
    </row>
    <row r="78">
      <c r="C78" s="102" t="n"/>
    </row>
    <row r="79">
      <c r="C79" s="102" t="n"/>
    </row>
    <row r="80">
      <c r="C80" s="102" t="n"/>
    </row>
    <row r="81">
      <c r="C81" s="102" t="n"/>
    </row>
    <row r="82">
      <c r="C82" s="102" t="n"/>
    </row>
    <row r="83">
      <c r="C83" s="102" t="n"/>
    </row>
    <row r="84">
      <c r="C84" s="102" t="n"/>
    </row>
    <row r="85">
      <c r="C85" s="102" t="n"/>
    </row>
    <row r="86">
      <c r="C86" s="102" t="n"/>
    </row>
    <row r="87">
      <c r="C87" s="102" t="n"/>
    </row>
    <row r="88">
      <c r="C88" s="102" t="n"/>
    </row>
    <row r="89">
      <c r="C89" s="102" t="n"/>
    </row>
    <row r="90">
      <c r="C90" s="102" t="n"/>
    </row>
    <row r="91">
      <c r="C91" s="102" t="n"/>
    </row>
    <row r="92">
      <c r="C92" s="102" t="n"/>
    </row>
    <row r="93">
      <c r="C93" s="102" t="n"/>
    </row>
    <row r="94">
      <c r="C94" s="102" t="n"/>
    </row>
    <row r="95">
      <c r="C95" s="102" t="n"/>
    </row>
    <row r="96">
      <c r="C96" s="102" t="n"/>
    </row>
    <row r="97">
      <c r="C97" s="102" t="n"/>
    </row>
    <row r="98">
      <c r="C98" s="102" t="n"/>
    </row>
    <row r="99">
      <c r="C99" s="102" t="n"/>
    </row>
    <row r="100">
      <c r="C100" s="102" t="n"/>
    </row>
    <row r="101">
      <c r="C101" s="102" t="n"/>
    </row>
    <row r="102">
      <c r="C102" s="102" t="n"/>
    </row>
    <row r="103">
      <c r="C103" s="102" t="n"/>
    </row>
    <row r="104">
      <c r="C104" s="102" t="n"/>
    </row>
    <row r="105">
      <c r="C105" s="102" t="n"/>
    </row>
    <row r="106">
      <c r="C106" s="102" t="n"/>
    </row>
    <row r="107">
      <c r="C107" s="102" t="n"/>
    </row>
    <row r="108">
      <c r="C108" s="102" t="n"/>
    </row>
    <row r="109">
      <c r="C109" s="102" t="n"/>
    </row>
    <row r="110">
      <c r="C110" s="102" t="n"/>
    </row>
    <row r="111">
      <c r="C111" s="102" t="n"/>
    </row>
    <row r="112">
      <c r="C112" s="102" t="n"/>
    </row>
    <row r="113">
      <c r="C113" s="102" t="n"/>
    </row>
    <row r="114">
      <c r="C114" s="102" t="n"/>
    </row>
    <row r="115">
      <c r="C115" s="102" t="n"/>
    </row>
    <row r="116">
      <c r="C116" s="102" t="n"/>
    </row>
    <row r="117">
      <c r="C117" s="102" t="n"/>
    </row>
    <row r="118">
      <c r="C118" s="102" t="n"/>
    </row>
    <row r="119">
      <c r="C119" s="102" t="n"/>
    </row>
    <row r="120">
      <c r="C120" s="102" t="n"/>
    </row>
    <row r="121">
      <c r="C121" s="102" t="n"/>
    </row>
    <row r="122">
      <c r="C122" s="102" t="n"/>
    </row>
    <row r="123">
      <c r="C123" s="102" t="n"/>
    </row>
    <row r="124">
      <c r="C124" s="102" t="n"/>
    </row>
    <row r="125">
      <c r="C125" s="102" t="n"/>
    </row>
    <row r="126">
      <c r="C126" s="102" t="n"/>
    </row>
    <row r="127">
      <c r="C127" s="102" t="n"/>
    </row>
  </sheetData>
  <pageMargins left="0.7" right="0.7" top="0.75" bottom="0.75" header="0.3" footer="0.3"/>
  <pageSetup orientation="landscape" paperSize="9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132"/>
  <sheetViews>
    <sheetView topLeftCell="C1" zoomScale="60" zoomScaleNormal="60" workbookViewId="0">
      <selection activeCell="C40" sqref="A40:XFD40"/>
    </sheetView>
  </sheetViews>
  <sheetFormatPr baseColWidth="8" defaultColWidth="8.75" defaultRowHeight="16.5" customHeight="1"/>
  <cols>
    <col width="11.875" customWidth="1" style="29" min="1" max="1"/>
    <col width="54.625" customWidth="1" min="3" max="3"/>
    <col width="22.5" bestFit="1" customWidth="1" min="4" max="4"/>
    <col width="9" customWidth="1" min="5" max="7"/>
    <col width="11.5" customWidth="1" min="8" max="8"/>
    <col width="9.5" customWidth="1" min="9" max="9"/>
    <col width="41.125" customWidth="1" style="423" min="10" max="10"/>
    <col width="12.375" customWidth="1" style="424" min="11" max="11"/>
    <col width="12.375" bestFit="1" customWidth="1" style="424" min="12" max="12"/>
    <col width="15.125" customWidth="1" style="424" min="13" max="13"/>
  </cols>
  <sheetData>
    <row r="1" ht="18" customHeight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5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Format="1" customHeight="1" s="112">
      <c r="A2" s="145" t="inlineStr">
        <is>
          <t>544950</t>
        </is>
      </c>
      <c r="B2" s="130" t="n">
        <v>0.01041666666666667</v>
      </c>
      <c r="C2" s="93" t="inlineStr">
        <is>
          <t>TST &gt;AP</t>
        </is>
      </c>
      <c r="D2" s="499" t="inlineStr">
        <is>
          <t>Keith CK9898 9888 0261</t>
        </is>
      </c>
      <c r="E2" s="93" t="inlineStr">
        <is>
          <t>Done</t>
        </is>
      </c>
      <c r="F2" s="113" t="n">
        <v>0.002083333333333333</v>
      </c>
      <c r="G2" s="113" t="n">
        <v>0.02291666666666667</v>
      </c>
      <c r="H2" s="93" t="n"/>
      <c r="I2" s="433" t="n"/>
      <c r="J2" s="442" t="inlineStr">
        <is>
          <t>OT $60</t>
        </is>
      </c>
      <c r="K2" s="443" t="n">
        <v>60</v>
      </c>
      <c r="L2" s="444" t="n">
        <v>400</v>
      </c>
      <c r="M2" s="448">
        <f>SUM(K2:L2)</f>
        <v/>
      </c>
      <c r="N2" s="437" t="n">
        <v>30</v>
      </c>
    </row>
    <row r="3" ht="17.25" customFormat="1" customHeight="1" s="132">
      <c r="A3" s="145" t="inlineStr">
        <is>
          <t>544951</t>
        </is>
      </c>
      <c r="B3" s="130" t="n">
        <v>0.04513888888888889</v>
      </c>
      <c r="C3" s="93" t="inlineStr">
        <is>
          <t>MB6564 &gt; TST</t>
        </is>
      </c>
      <c r="D3" s="93" t="inlineStr">
        <is>
          <t>Keith CK9898 9888 0261</t>
        </is>
      </c>
      <c r="E3" s="93" t="inlineStr">
        <is>
          <t>Done</t>
        </is>
      </c>
      <c r="F3" s="113" t="n">
        <v>0.06805555555555555</v>
      </c>
      <c r="G3" s="113" t="n">
        <v>0.08680555555555555</v>
      </c>
      <c r="H3" s="93" t="n"/>
      <c r="I3" s="433" t="n"/>
      <c r="J3" s="442" t="inlineStr">
        <is>
          <t>P $35 ， OT $60</t>
        </is>
      </c>
      <c r="K3" s="437" t="n">
        <v>95</v>
      </c>
      <c r="L3" s="436" t="n">
        <v>400</v>
      </c>
      <c r="M3" s="448">
        <f>SUM(K3:L3)</f>
        <v/>
      </c>
      <c r="N3" s="437" t="n">
        <v>30</v>
      </c>
      <c r="O3" s="144" t="n"/>
      <c r="P3" s="144" t="n"/>
    </row>
    <row r="4" ht="17.25" customFormat="1" customHeight="1" s="132">
      <c r="A4" s="145" t="inlineStr">
        <is>
          <t>544951</t>
        </is>
      </c>
      <c r="B4" s="130" t="n">
        <v>0.04513888888888889</v>
      </c>
      <c r="C4" s="93" t="inlineStr">
        <is>
          <t>MB6564 &gt; TST</t>
        </is>
      </c>
      <c r="D4" s="440" t="inlineStr">
        <is>
          <t>Ricky ZJ6071 5108 9715</t>
        </is>
      </c>
      <c r="E4" s="93" t="inlineStr">
        <is>
          <t>Done</t>
        </is>
      </c>
      <c r="F4" s="113" t="n">
        <v>0.06805555555555555</v>
      </c>
      <c r="G4" s="113" t="n">
        <v>0.08680555555555555</v>
      </c>
      <c r="H4" s="93" t="n"/>
      <c r="I4" s="433" t="n"/>
      <c r="J4" s="442" t="inlineStr">
        <is>
          <t>P $35 ， OT $60</t>
        </is>
      </c>
      <c r="K4" s="437" t="n">
        <v>95</v>
      </c>
      <c r="L4" s="436" t="n">
        <v>400</v>
      </c>
      <c r="M4" s="448">
        <f>SUM(K4:L4)</f>
        <v/>
      </c>
      <c r="N4" s="437" t="n">
        <v>30</v>
      </c>
      <c r="O4" s="144" t="n"/>
      <c r="P4" s="144" t="n"/>
    </row>
    <row r="5" ht="17.25" customFormat="1" customHeight="1" s="112">
      <c r="A5" s="91" t="inlineStr">
        <is>
          <t>544952</t>
        </is>
      </c>
      <c r="B5" s="91" t="inlineStr">
        <is>
          <t>1:35</t>
        </is>
      </c>
      <c r="C5" s="39" t="inlineStr">
        <is>
          <t>TST &gt;AP</t>
        </is>
      </c>
      <c r="D5" s="440" t="inlineStr">
        <is>
          <t>Soo FN655 6097 7620</t>
        </is>
      </c>
      <c r="E5" s="39" t="inlineStr">
        <is>
          <t>Done</t>
        </is>
      </c>
      <c r="F5" s="40" t="n">
        <v>0.0625</v>
      </c>
      <c r="G5" s="40" t="n">
        <v>0.08333333333333333</v>
      </c>
      <c r="H5" s="39" t="n"/>
      <c r="I5" s="438" t="n"/>
      <c r="J5" s="485" t="inlineStr">
        <is>
          <t>OT $60</t>
        </is>
      </c>
      <c r="K5" s="448" t="n">
        <v>60</v>
      </c>
      <c r="L5" s="436" t="n">
        <v>400</v>
      </c>
      <c r="M5" s="448">
        <f>SUM(K5:L5)</f>
        <v/>
      </c>
      <c r="N5" s="437" t="n">
        <v>30</v>
      </c>
    </row>
    <row r="6" ht="17.25" customFormat="1" customHeight="1" s="6">
      <c r="A6" s="91" t="inlineStr">
        <is>
          <t>542986</t>
        </is>
      </c>
      <c r="B6" s="48" t="n">
        <v>0.3541666666666667</v>
      </c>
      <c r="C6" s="93" t="inlineStr">
        <is>
          <t>TST &gt; AP</t>
        </is>
      </c>
      <c r="D6" s="440" t="inlineStr">
        <is>
          <t>Ricky ZJ6071 5108 9715</t>
        </is>
      </c>
      <c r="E6" s="39" t="inlineStr">
        <is>
          <t>Done</t>
        </is>
      </c>
      <c r="F6" s="40" t="n">
        <v>0.3541666666666667</v>
      </c>
      <c r="G6" s="40" t="n">
        <v>0.3736111111111111</v>
      </c>
      <c r="H6" s="39" t="n"/>
      <c r="I6" s="438" t="n"/>
      <c r="J6" s="441" t="n"/>
      <c r="K6" s="437" t="n"/>
      <c r="L6" s="436" t="n">
        <v>400</v>
      </c>
      <c r="M6" s="448">
        <f>SUM(K6:L6)</f>
        <v/>
      </c>
      <c r="N6" s="437" t="n">
        <v>30</v>
      </c>
    </row>
    <row r="7" ht="17.25" customFormat="1" customHeight="1" s="6">
      <c r="A7" s="318" t="inlineStr">
        <is>
          <t>545237</t>
        </is>
      </c>
      <c r="B7" s="319" t="n">
        <v>0.9548611111111112</v>
      </c>
      <c r="C7" s="286" t="inlineStr">
        <is>
          <t>MB300 &gt; TST</t>
        </is>
      </c>
      <c r="D7" s="502" t="inlineStr">
        <is>
          <t>Fung WH9918 9803 6203</t>
        </is>
      </c>
      <c r="E7" s="286" t="inlineStr">
        <is>
          <t>Done</t>
        </is>
      </c>
      <c r="F7" s="285" t="n">
        <v>0.9861111111111112</v>
      </c>
      <c r="G7" s="285" t="n">
        <v>0.006944444444444444</v>
      </c>
      <c r="H7" s="503" t="n"/>
      <c r="I7" s="504" t="n"/>
      <c r="J7" s="505" t="inlineStr">
        <is>
          <t>P$35</t>
        </is>
      </c>
      <c r="K7" s="490" t="n">
        <v>35</v>
      </c>
      <c r="L7" s="506" t="n">
        <v>400</v>
      </c>
      <c r="M7" s="448">
        <f>SUM(K7:L7)</f>
        <v/>
      </c>
      <c r="N7" s="437" t="n">
        <v>30</v>
      </c>
    </row>
    <row r="8" ht="17.25" customFormat="1" customHeight="1" s="6">
      <c r="A8" s="318" t="inlineStr">
        <is>
          <t>545237</t>
        </is>
      </c>
      <c r="B8" s="319" t="n">
        <v>0.9548611111111112</v>
      </c>
      <c r="C8" s="286" t="inlineStr">
        <is>
          <t>MB300 &gt; TST</t>
        </is>
      </c>
      <c r="D8" s="502" t="inlineStr">
        <is>
          <t>Soo FN655 6097 7620</t>
        </is>
      </c>
      <c r="E8" s="286" t="inlineStr">
        <is>
          <t>Done</t>
        </is>
      </c>
      <c r="F8" s="285" t="n">
        <v>0.9861111111111112</v>
      </c>
      <c r="G8" s="285" t="n">
        <v>0.006944444444444444</v>
      </c>
      <c r="H8" s="503" t="n"/>
      <c r="I8" s="504" t="n"/>
      <c r="J8" s="505" t="inlineStr">
        <is>
          <t>P$35</t>
        </is>
      </c>
      <c r="K8" s="490" t="n">
        <v>35</v>
      </c>
      <c r="L8" s="506" t="n">
        <v>400</v>
      </c>
      <c r="M8" s="448">
        <f>SUM(K8:L8)</f>
        <v/>
      </c>
      <c r="N8" s="437" t="n">
        <v>30</v>
      </c>
    </row>
    <row r="9" ht="17.25" customFormat="1" customHeight="1" s="6">
      <c r="A9" s="91" t="n"/>
      <c r="B9" s="48" t="n"/>
      <c r="C9" s="39" t="n"/>
      <c r="D9" s="440" t="n"/>
      <c r="E9" s="39" t="n"/>
      <c r="F9" s="40" t="n"/>
      <c r="G9" s="40" t="n"/>
      <c r="H9" s="39" t="n"/>
      <c r="I9" s="438" t="n"/>
      <c r="J9" s="441" t="n"/>
      <c r="K9" s="437" t="n"/>
      <c r="L9" s="436" t="n"/>
      <c r="M9" s="448">
        <f>SUM(K9:L9)</f>
        <v/>
      </c>
      <c r="N9" s="437" t="n"/>
    </row>
    <row r="10" ht="17.25" customFormat="1" customHeight="1" s="6">
      <c r="A10" s="91" t="n"/>
      <c r="B10" s="48" t="n"/>
      <c r="C10" s="39" t="n"/>
      <c r="D10" s="39" t="n"/>
      <c r="E10" s="39" t="n"/>
      <c r="F10" s="40" t="n"/>
      <c r="G10" s="40" t="n"/>
      <c r="H10" s="39" t="n"/>
      <c r="I10" s="438" t="n"/>
      <c r="J10" s="441" t="n"/>
      <c r="K10" s="437" t="n"/>
      <c r="L10" s="436" t="n"/>
      <c r="M10" s="448">
        <f>SUM(K10:L10)</f>
        <v/>
      </c>
      <c r="N10" s="437" t="n"/>
    </row>
    <row r="11" ht="17.25" customFormat="1" customHeight="1" s="6">
      <c r="A11" s="47" t="n"/>
      <c r="B11" s="48" t="n"/>
      <c r="C11" s="39" t="n"/>
      <c r="D11" s="501" t="n"/>
      <c r="E11" s="39" t="n"/>
      <c r="F11" s="40" t="n"/>
      <c r="G11" s="40" t="n"/>
      <c r="H11" s="39" t="n"/>
      <c r="I11" s="438" t="n"/>
      <c r="J11" s="441" t="n"/>
      <c r="K11" s="437" t="n"/>
      <c r="L11" s="436" t="n"/>
      <c r="M11" s="448">
        <f>SUM(K11:L11)</f>
        <v/>
      </c>
      <c r="N11" s="437" t="n"/>
    </row>
    <row r="12" ht="17.25" customHeight="1">
      <c r="A12" s="45" t="n"/>
      <c r="B12" s="48" t="n"/>
      <c r="C12" s="39" t="n"/>
      <c r="D12" s="501" t="n"/>
      <c r="E12" s="39" t="n"/>
      <c r="F12" s="40" t="n"/>
      <c r="G12" s="40" t="n"/>
      <c r="H12" s="39" t="n"/>
      <c r="I12" s="438" t="n"/>
      <c r="J12" s="441" t="n"/>
      <c r="K12" s="437" t="n"/>
      <c r="L12" s="436" t="n"/>
      <c r="M12" s="448">
        <f>SUM(K12:L12)</f>
        <v/>
      </c>
      <c r="N12" s="437" t="n"/>
    </row>
    <row r="13" ht="17.25" customHeight="1">
      <c r="A13" s="45" t="n"/>
      <c r="B13" s="48" t="n"/>
      <c r="C13" s="39" t="n"/>
      <c r="D13" s="452" t="n"/>
      <c r="E13" s="53" t="n"/>
      <c r="F13" s="54" t="n"/>
      <c r="G13" s="54" t="n"/>
      <c r="H13" s="53" t="n"/>
      <c r="I13" s="453" t="n"/>
      <c r="J13" s="455" t="n"/>
      <c r="K13" s="451" t="n"/>
      <c r="L13" s="478" t="n"/>
      <c r="M13" s="448">
        <f>SUM(K13:L13)</f>
        <v/>
      </c>
      <c r="N13" s="437" t="n"/>
    </row>
    <row r="14" ht="17.25" customHeight="1">
      <c r="A14" s="45" t="n"/>
      <c r="B14" s="48" t="n"/>
      <c r="C14" s="39" t="n"/>
      <c r="D14" s="497" t="n"/>
      <c r="E14" s="53" t="n"/>
      <c r="F14" s="54" t="n"/>
      <c r="G14" s="54" t="n"/>
      <c r="H14" s="53" t="n"/>
      <c r="I14" s="453" t="n"/>
      <c r="J14" s="455" t="n"/>
      <c r="K14" s="451" t="n"/>
      <c r="L14" s="478" t="n"/>
      <c r="M14" s="448">
        <f>SUM(K14:L14)</f>
        <v/>
      </c>
      <c r="N14" s="437" t="n"/>
    </row>
    <row r="15" ht="17.25" customHeight="1">
      <c r="A15" s="59" t="n"/>
      <c r="B15" s="52" t="n"/>
      <c r="C15" s="53" t="n"/>
      <c r="D15" s="452" t="n"/>
      <c r="E15" s="53" t="n"/>
      <c r="F15" s="54" t="n"/>
      <c r="G15" s="54" t="n"/>
      <c r="H15" s="53" t="n"/>
      <c r="I15" s="453" t="n"/>
      <c r="J15" s="455" t="n"/>
      <c r="K15" s="451" t="n"/>
      <c r="L15" s="478" t="n"/>
      <c r="M15" s="451" t="n"/>
      <c r="N15" s="437" t="n"/>
    </row>
    <row r="16" ht="17.25" customHeight="1">
      <c r="A16" s="45" t="n"/>
      <c r="B16" s="48" t="n"/>
      <c r="C16" s="39" t="n"/>
      <c r="D16" s="440" t="n"/>
      <c r="E16" s="39" t="n"/>
      <c r="F16" s="40" t="n"/>
      <c r="G16" s="40" t="n"/>
      <c r="H16" s="39" t="n"/>
      <c r="I16" s="438" t="n"/>
      <c r="J16" s="441" t="n"/>
      <c r="K16" s="437" t="n"/>
      <c r="L16" s="436" t="n"/>
      <c r="M16" s="451" t="n"/>
      <c r="N16" s="437" t="n"/>
    </row>
    <row r="17" ht="17.25" customHeight="1">
      <c r="A17" s="45" t="n"/>
      <c r="B17" s="46" t="n"/>
      <c r="C17" s="39" t="n"/>
      <c r="D17" s="454" t="n"/>
      <c r="E17" s="39" t="n"/>
      <c r="F17" s="40" t="n"/>
      <c r="G17" s="40" t="n"/>
      <c r="H17" s="39" t="n"/>
      <c r="I17" s="438" t="n"/>
      <c r="J17" s="441" t="n"/>
      <c r="K17" s="437" t="n"/>
      <c r="L17" s="436" t="n"/>
      <c r="M17" s="451" t="n"/>
      <c r="N17" s="437" t="n"/>
    </row>
    <row r="18" ht="17.25" customHeight="1">
      <c r="A18" s="47" t="n"/>
      <c r="B18" s="48" t="n"/>
      <c r="C18" s="39" t="n"/>
      <c r="D18" s="454" t="n"/>
      <c r="E18" s="39" t="n"/>
      <c r="F18" s="40" t="n"/>
      <c r="G18" s="40" t="n"/>
      <c r="H18" s="39" t="n"/>
      <c r="I18" s="438" t="n"/>
      <c r="J18" s="441" t="n"/>
      <c r="K18" s="437" t="n"/>
      <c r="L18" s="436" t="n"/>
      <c r="M18" s="451" t="n"/>
      <c r="N18" s="437" t="n"/>
    </row>
    <row r="19" ht="17.25" customHeight="1">
      <c r="A19" s="45" t="n"/>
      <c r="B19" s="46" t="n"/>
      <c r="C19" s="39" t="n"/>
      <c r="D19" s="440" t="n"/>
      <c r="E19" s="39" t="n"/>
      <c r="F19" s="40" t="n"/>
      <c r="G19" s="40" t="n"/>
      <c r="H19" s="39" t="n"/>
      <c r="I19" s="438" t="n"/>
      <c r="J19" s="441" t="n"/>
      <c r="K19" s="437" t="n"/>
      <c r="L19" s="437" t="n"/>
      <c r="M19" s="451" t="n"/>
      <c r="N19" s="437" t="n"/>
    </row>
    <row r="20" ht="17.25" customHeight="1">
      <c r="A20" s="1" t="n"/>
      <c r="B20" s="8" t="n"/>
      <c r="C20" s="53" t="n"/>
      <c r="D20" s="425" t="n"/>
      <c r="E20" s="53" t="n"/>
      <c r="F20" s="61" t="n"/>
      <c r="G20" s="61" t="n"/>
      <c r="H20" s="53" t="n"/>
      <c r="I20" s="453" t="n"/>
      <c r="J20" s="455" t="n"/>
      <c r="K20" s="451" t="n"/>
      <c r="L20" s="451" t="n"/>
      <c r="M20" s="451" t="n"/>
      <c r="N20" s="437" t="n"/>
    </row>
    <row r="21" ht="15" customHeight="1">
      <c r="A21" s="51" t="n"/>
      <c r="B21" s="62" t="n"/>
      <c r="C21" s="53" t="n"/>
      <c r="D21" s="425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51" t="n"/>
      <c r="N21" s="437" t="n"/>
    </row>
    <row r="22" ht="15" customHeight="1">
      <c r="A22" s="51" t="n"/>
      <c r="B22" s="62" t="n"/>
      <c r="C22" s="53" t="n"/>
      <c r="D22" s="425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51" t="n"/>
      <c r="N22" s="437" t="n"/>
    </row>
    <row r="23" ht="15" customHeight="1">
      <c r="A23" s="51" t="n"/>
      <c r="B23" s="62" t="n"/>
      <c r="C23" s="53" t="n"/>
      <c r="D23" s="425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51" t="n"/>
      <c r="N23" s="437" t="n"/>
    </row>
    <row r="24" ht="15" customHeight="1">
      <c r="A24" s="51" t="n"/>
      <c r="B24" s="62" t="n"/>
      <c r="C24" s="53" t="n"/>
      <c r="D24" s="425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51" t="n"/>
      <c r="N24" s="437" t="n"/>
    </row>
    <row r="25" ht="15" customHeight="1">
      <c r="A25" s="51" t="n"/>
      <c r="B25" s="62" t="n"/>
      <c r="C25" s="53" t="n"/>
      <c r="D25" s="456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51" t="n"/>
      <c r="N25" s="437" t="n"/>
    </row>
    <row r="26" ht="15" customHeight="1">
      <c r="A26" s="51" t="n"/>
      <c r="B26" s="62" t="n"/>
      <c r="C26" s="53" t="n"/>
      <c r="D26" s="53" t="n"/>
      <c r="E26" s="53" t="n"/>
      <c r="F26" s="61" t="n"/>
      <c r="G26" s="61" t="n"/>
      <c r="H26" s="53" t="n"/>
      <c r="I26" s="453" t="n"/>
      <c r="J26" s="455" t="n"/>
      <c r="K26" s="451" t="n"/>
      <c r="L26" s="451" t="n"/>
      <c r="M26" s="451" t="n"/>
      <c r="N26" s="437" t="n"/>
    </row>
    <row r="27" ht="15" customHeight="1">
      <c r="A27" s="51" t="n"/>
      <c r="B27" s="62" t="n"/>
      <c r="C27" s="53" t="n"/>
      <c r="D27" s="425" t="n"/>
      <c r="E27" s="53" t="n"/>
      <c r="F27" s="61" t="n"/>
      <c r="G27" s="61" t="n"/>
      <c r="H27" s="53" t="n"/>
      <c r="I27" s="453" t="n"/>
      <c r="J27" s="455" t="n"/>
      <c r="K27" s="451" t="n"/>
      <c r="L27" s="451" t="n"/>
      <c r="M27" s="451" t="n"/>
      <c r="N27" s="437" t="n"/>
    </row>
    <row r="28" ht="15" customHeight="1">
      <c r="A28" s="51" t="n"/>
      <c r="B28" s="62" t="n"/>
      <c r="C28" s="53" t="n"/>
      <c r="D28" s="456" t="n"/>
      <c r="E28" s="53" t="n"/>
      <c r="F28" s="61" t="n"/>
      <c r="G28" s="61" t="n"/>
      <c r="H28" s="53" t="n"/>
      <c r="I28" s="453" t="n"/>
      <c r="J28" s="455" t="n"/>
      <c r="K28" s="451" t="n"/>
      <c r="L28" s="451" t="n"/>
      <c r="M28" s="451" t="n"/>
      <c r="N28" s="437" t="n"/>
    </row>
    <row r="29" ht="15" customHeight="1">
      <c r="A29" s="51" t="n"/>
      <c r="B29" s="62" t="n"/>
      <c r="C29" s="53" t="n"/>
      <c r="D29" s="53" t="n"/>
      <c r="E29" s="53" t="n"/>
      <c r="F29" s="61" t="n"/>
      <c r="G29" s="61" t="n"/>
      <c r="H29" s="53" t="n"/>
      <c r="I29" s="453" t="n"/>
      <c r="J29" s="455" t="n"/>
      <c r="K29" s="451" t="n"/>
      <c r="L29" s="451" t="n"/>
      <c r="M29" s="451" t="n"/>
      <c r="N29" s="437" t="n"/>
    </row>
    <row r="30" ht="15" customHeight="1">
      <c r="A30" s="51" t="n"/>
      <c r="B30" s="62" t="n"/>
      <c r="C30" s="53" t="n"/>
      <c r="D30" s="425" t="n"/>
      <c r="E30" s="53" t="n"/>
      <c r="F30" s="61" t="n"/>
      <c r="G30" s="61" t="n"/>
      <c r="H30" s="53" t="n"/>
      <c r="I30" s="453" t="n"/>
      <c r="J30" s="455" t="n"/>
      <c r="K30" s="451" t="n"/>
      <c r="L30" s="451" t="n"/>
      <c r="M30" s="451" t="n"/>
      <c r="N30" s="437" t="n"/>
    </row>
    <row r="31" ht="15" customHeight="1">
      <c r="A31" s="51" t="n"/>
      <c r="B31" s="62" t="n"/>
      <c r="C31" s="53" t="n"/>
      <c r="D31" s="476" t="n"/>
      <c r="E31" s="53" t="n"/>
      <c r="F31" s="61" t="n"/>
      <c r="G31" s="61" t="n"/>
      <c r="H31" s="53" t="n"/>
      <c r="I31" s="453" t="n"/>
      <c r="J31" s="455" t="n"/>
      <c r="K31" s="451" t="n"/>
      <c r="L31" s="451" t="n"/>
      <c r="M31" s="451" t="n"/>
      <c r="N31" s="437" t="n"/>
    </row>
    <row r="32" ht="15" customHeight="1">
      <c r="A32" s="51" t="n"/>
      <c r="B32" s="62" t="n"/>
      <c r="C32" s="53" t="n"/>
      <c r="D32" s="425" t="n"/>
      <c r="E32" s="53" t="n"/>
      <c r="F32" s="61" t="n"/>
      <c r="G32" s="61" t="n"/>
      <c r="H32" s="53" t="n"/>
      <c r="I32" s="453" t="n"/>
      <c r="J32" s="455" t="n"/>
      <c r="K32" s="451" t="n"/>
      <c r="L32" s="451" t="n"/>
      <c r="M32" s="451" t="n"/>
      <c r="N32" s="437" t="n"/>
    </row>
    <row r="33" ht="15" customHeight="1">
      <c r="A33" s="51" t="n"/>
      <c r="B33" s="62" t="n"/>
      <c r="C33" s="53" t="n"/>
      <c r="D33" s="9" t="n"/>
      <c r="E33" s="53" t="n"/>
      <c r="F33" s="61" t="n"/>
      <c r="G33" s="61" t="n"/>
      <c r="H33" s="53" t="n"/>
      <c r="I33" s="453" t="n"/>
      <c r="J33" s="455" t="n"/>
      <c r="K33" s="451" t="n"/>
      <c r="L33" s="451" t="n"/>
      <c r="M33" s="451" t="n"/>
      <c r="N33" s="437" t="n"/>
    </row>
    <row r="34" ht="15" customHeight="1">
      <c r="A34" s="51" t="n"/>
      <c r="B34" s="62" t="n"/>
      <c r="C34" s="53" t="n"/>
      <c r="D34" s="425" t="n"/>
      <c r="E34" s="53" t="n"/>
      <c r="F34" s="61" t="n"/>
      <c r="G34" s="61" t="n"/>
      <c r="H34" s="53" t="n"/>
      <c r="I34" s="453" t="n"/>
      <c r="J34" s="455" t="n"/>
      <c r="K34" s="451" t="n"/>
      <c r="L34" s="451" t="n"/>
      <c r="M34" s="451" t="n"/>
      <c r="N34" s="437" t="n"/>
    </row>
    <row r="35" ht="15" customHeight="1">
      <c r="A35" s="51" t="n"/>
      <c r="B35" s="62" t="n"/>
      <c r="C35" s="53" t="n"/>
      <c r="D35" s="425" t="n"/>
      <c r="E35" s="53" t="n"/>
      <c r="F35" s="61" t="n"/>
      <c r="G35" s="61" t="n"/>
      <c r="H35" s="53" t="n"/>
      <c r="I35" s="453" t="n"/>
      <c r="J35" s="455" t="n"/>
      <c r="K35" s="451" t="n"/>
      <c r="L35" s="451" t="n"/>
      <c r="M35" s="451" t="n"/>
      <c r="N35" s="437" t="n"/>
    </row>
    <row r="36" ht="15" customHeight="1">
      <c r="A36" s="51" t="n"/>
      <c r="B36" s="62" t="n"/>
      <c r="C36" s="53" t="n"/>
      <c r="D36" s="456" t="n"/>
      <c r="E36" s="10" t="n"/>
      <c r="F36" s="61" t="n"/>
      <c r="G36" s="61" t="n"/>
      <c r="H36" s="10" t="n"/>
      <c r="I36" s="461" t="n"/>
      <c r="J36" s="458" t="n"/>
      <c r="K36" s="459" t="n"/>
      <c r="L36" s="459" t="n"/>
      <c r="M36" s="451" t="n"/>
      <c r="N36" s="437" t="n"/>
    </row>
    <row r="37" ht="15" customHeight="1">
      <c r="A37" s="20" t="n"/>
      <c r="B37" s="21" t="n"/>
      <c r="C37" s="22" t="n"/>
      <c r="D37" s="21" t="n"/>
      <c r="E37" s="21" t="n"/>
      <c r="F37" s="21" t="n"/>
      <c r="G37" s="21" t="n"/>
      <c r="H37" s="21" t="n"/>
      <c r="I37" s="465" t="n"/>
      <c r="J37" s="469" t="n"/>
      <c r="K37" s="470" t="n"/>
      <c r="L37" s="470" t="n"/>
      <c r="M37" s="470" t="n"/>
      <c r="N37" s="437" t="n"/>
    </row>
    <row r="38" ht="15" customHeight="1">
      <c r="A38" s="20" t="n"/>
      <c r="B38" s="21" t="n"/>
      <c r="C38" s="22" t="n"/>
      <c r="D38" s="21" t="n"/>
      <c r="E38" s="21" t="n"/>
      <c r="F38" s="21" t="n"/>
      <c r="G38" s="21" t="n"/>
      <c r="H38" s="21" t="n"/>
      <c r="J38" s="469" t="n"/>
      <c r="K38" s="470" t="n"/>
      <c r="L38" s="470" t="n"/>
    </row>
    <row r="39" ht="15" customHeight="1">
      <c r="A39" s="20" t="n"/>
      <c r="B39" s="21" t="n"/>
      <c r="C39" s="22" t="n"/>
      <c r="D39" s="21" t="n"/>
      <c r="E39" s="21" t="n"/>
      <c r="F39" s="21" t="n"/>
      <c r="G39" s="21" t="n"/>
      <c r="H39" s="21" t="n"/>
      <c r="J39" s="469" t="n"/>
      <c r="K39" s="470" t="n"/>
      <c r="L39" s="470" t="n"/>
      <c r="M39" s="473" t="n"/>
    </row>
    <row r="40" ht="15" customHeight="1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9" t="n"/>
      <c r="K40" s="470" t="n"/>
      <c r="L40" s="470" t="n"/>
      <c r="M40" s="472">
        <f>SUM(M2:M36)</f>
        <v/>
      </c>
      <c r="N40" s="472">
        <f>SUM(N2:N36)</f>
        <v/>
      </c>
    </row>
    <row r="41" ht="15" customHeight="1">
      <c r="C41" s="30" t="n"/>
    </row>
    <row r="42" ht="15" customHeight="1">
      <c r="C42" s="30" t="n"/>
    </row>
    <row r="43" ht="15" customHeight="1">
      <c r="C43" s="30" t="n"/>
    </row>
    <row r="44" ht="15" customHeight="1">
      <c r="C44" s="30" t="n"/>
    </row>
    <row r="45" ht="15" customHeight="1">
      <c r="C45" s="30" t="n"/>
    </row>
    <row r="46" ht="15" customHeight="1">
      <c r="C46" s="30" t="n"/>
    </row>
    <row r="47" ht="15" customHeight="1">
      <c r="C47" s="30" t="n"/>
    </row>
    <row r="48" ht="15" customHeight="1">
      <c r="C48" s="30" t="n"/>
    </row>
    <row r="49" ht="15" customHeight="1">
      <c r="C49" s="30" t="n"/>
    </row>
    <row r="50" ht="15" customHeight="1">
      <c r="C50" s="30" t="n"/>
    </row>
    <row r="51" ht="15" customHeight="1">
      <c r="C51" s="30" t="n"/>
    </row>
    <row r="52" ht="15" customHeight="1">
      <c r="C52" s="30" t="n"/>
    </row>
    <row r="53" ht="15" customHeight="1">
      <c r="C53" s="30" t="n"/>
    </row>
    <row r="54" ht="15" customHeight="1">
      <c r="C54" s="30" t="n"/>
    </row>
    <row r="55" ht="15" customHeight="1">
      <c r="C55" s="30" t="n"/>
    </row>
    <row r="56" ht="15" customHeight="1">
      <c r="C56" s="30" t="n"/>
    </row>
    <row r="57" ht="15" customHeight="1">
      <c r="C57" s="30" t="n"/>
    </row>
    <row r="58" ht="15" customHeight="1">
      <c r="C58" s="30" t="n"/>
    </row>
    <row r="59" ht="15" customHeight="1">
      <c r="C59" s="30" t="n"/>
    </row>
    <row r="60" ht="15" customHeight="1">
      <c r="C60" s="30" t="n"/>
    </row>
    <row r="61" ht="15" customHeight="1">
      <c r="C61" s="30" t="n"/>
    </row>
    <row r="62" ht="15" customHeight="1">
      <c r="C62" s="30" t="n"/>
    </row>
    <row r="63" ht="15" customHeight="1">
      <c r="C63" s="30" t="n"/>
    </row>
    <row r="64" ht="15" customHeight="1">
      <c r="C64" s="30" t="n"/>
    </row>
    <row r="65" ht="15" customHeight="1">
      <c r="C65" s="30" t="n"/>
    </row>
    <row r="66" ht="15" customHeight="1">
      <c r="C66" s="30" t="n"/>
    </row>
    <row r="67" ht="15" customHeight="1">
      <c r="C67" s="30" t="n"/>
    </row>
    <row r="68" ht="15" customHeight="1">
      <c r="C68" s="30" t="n"/>
    </row>
    <row r="69" ht="15" customHeight="1">
      <c r="C69" s="30" t="n"/>
    </row>
    <row r="70" ht="15" customHeight="1">
      <c r="C70" s="30" t="n"/>
    </row>
    <row r="71" ht="15" customHeight="1">
      <c r="C71" s="30" t="n"/>
    </row>
    <row r="72" ht="15" customHeight="1">
      <c r="C72" s="30" t="n"/>
    </row>
    <row r="73" ht="15" customHeight="1">
      <c r="C73" s="30" t="n"/>
    </row>
    <row r="74" ht="15" customHeight="1">
      <c r="C74" s="30" t="n"/>
    </row>
    <row r="75" ht="15" customHeight="1">
      <c r="C75" s="30" t="n"/>
    </row>
    <row r="76" ht="15" customHeight="1">
      <c r="C76" s="30" t="n"/>
    </row>
    <row r="77" ht="15" customHeight="1">
      <c r="C77" s="30" t="n"/>
    </row>
    <row r="78" ht="15" customHeight="1">
      <c r="C78" s="30" t="n"/>
    </row>
    <row r="79" ht="15" customHeight="1">
      <c r="C79" s="30" t="n"/>
    </row>
    <row r="80" ht="15" customHeight="1">
      <c r="C80" s="30" t="n"/>
    </row>
    <row r="81" ht="15" customHeight="1">
      <c r="C81" s="30" t="n"/>
    </row>
    <row r="82" ht="15" customHeight="1">
      <c r="C82" s="30" t="n"/>
    </row>
    <row r="83" ht="15" customHeight="1">
      <c r="C83" s="30" t="n"/>
    </row>
    <row r="84" ht="15" customHeight="1">
      <c r="C84" s="30" t="n"/>
    </row>
    <row r="85" ht="15" customHeight="1">
      <c r="C85" s="30" t="n"/>
    </row>
    <row r="86" ht="15" customHeight="1">
      <c r="C86" s="30" t="n"/>
    </row>
    <row r="87" ht="15" customHeight="1">
      <c r="C87" s="30" t="n"/>
    </row>
    <row r="88" ht="15" customHeight="1">
      <c r="C88" s="30" t="n"/>
    </row>
    <row r="89" ht="15" customHeight="1">
      <c r="C89" s="30" t="n"/>
    </row>
    <row r="90" ht="15" customHeight="1">
      <c r="C90" s="30" t="n"/>
    </row>
    <row r="91" ht="15" customHeight="1">
      <c r="C91" s="30" t="n"/>
    </row>
    <row r="92" ht="15" customHeight="1">
      <c r="C92" s="30" t="n"/>
    </row>
    <row r="93" ht="15" customHeight="1">
      <c r="C93" s="30" t="n"/>
    </row>
    <row r="94" ht="15" customHeight="1">
      <c r="C94" s="30" t="n"/>
    </row>
    <row r="95" ht="15" customHeight="1">
      <c r="C95" s="30" t="n"/>
    </row>
    <row r="96" ht="15" customHeight="1">
      <c r="C96" s="30" t="n"/>
    </row>
    <row r="97" ht="15" customHeight="1">
      <c r="C97" s="30" t="n"/>
    </row>
    <row r="98" ht="15" customHeight="1">
      <c r="C98" s="30" t="n"/>
    </row>
    <row r="99" ht="15" customHeight="1">
      <c r="C99" s="30" t="n"/>
    </row>
    <row r="100" ht="15" customHeight="1">
      <c r="C100" s="30" t="n"/>
    </row>
    <row r="101" ht="15" customHeight="1">
      <c r="C101" s="30" t="n"/>
    </row>
    <row r="102" ht="15" customHeight="1">
      <c r="C102" s="30" t="n"/>
    </row>
    <row r="103" ht="15" customHeight="1">
      <c r="C103" s="30" t="n"/>
    </row>
    <row r="104" ht="15" customHeight="1">
      <c r="C104" s="30" t="n"/>
    </row>
    <row r="105" ht="15" customHeight="1">
      <c r="C105" s="30" t="n"/>
    </row>
    <row r="106" ht="15" customHeight="1">
      <c r="C106" s="30" t="n"/>
    </row>
    <row r="107" ht="15" customHeight="1">
      <c r="C107" s="30" t="n"/>
    </row>
    <row r="108" ht="15" customHeight="1">
      <c r="C108" s="30" t="n"/>
    </row>
    <row r="109" ht="15" customHeight="1">
      <c r="C109" s="30" t="n"/>
    </row>
    <row r="110" ht="15" customHeight="1">
      <c r="C110" s="30" t="n"/>
    </row>
    <row r="111" ht="15" customHeight="1">
      <c r="C111" s="30" t="n"/>
    </row>
    <row r="112" ht="15" customHeight="1">
      <c r="C112" s="30" t="n"/>
    </row>
    <row r="113" ht="15" customHeight="1">
      <c r="C113" s="30" t="n"/>
    </row>
    <row r="114" ht="15" customHeight="1">
      <c r="C114" s="30" t="n"/>
    </row>
    <row r="115" ht="15" customHeight="1">
      <c r="C115" s="30" t="n"/>
    </row>
    <row r="116" ht="15" customHeight="1">
      <c r="C116" s="30" t="n"/>
    </row>
    <row r="117" ht="15" customHeight="1">
      <c r="C117" s="30" t="n"/>
    </row>
    <row r="118" ht="15" customHeight="1">
      <c r="C118" s="30" t="n"/>
    </row>
    <row r="119" ht="15" customHeight="1">
      <c r="C119" s="30" t="n"/>
    </row>
    <row r="120" ht="15" customHeight="1">
      <c r="C120" s="30" t="n"/>
    </row>
    <row r="121" ht="15" customHeight="1">
      <c r="C121" s="30" t="n"/>
    </row>
    <row r="122" ht="15" customHeight="1">
      <c r="C122" s="30" t="n"/>
    </row>
    <row r="123" ht="15" customHeight="1">
      <c r="C123" s="30" t="n"/>
    </row>
    <row r="124" ht="15" customHeight="1">
      <c r="C124" s="30" t="n"/>
    </row>
    <row r="125" ht="15" customHeight="1">
      <c r="C125" s="30" t="n"/>
    </row>
    <row r="126" ht="15" customHeight="1">
      <c r="C126" s="30" t="n"/>
    </row>
    <row r="127" ht="15" customHeight="1">
      <c r="C127" s="30" t="n"/>
    </row>
    <row r="128" ht="15" customHeight="1">
      <c r="C128" s="30" t="n"/>
    </row>
    <row r="129" ht="15" customHeight="1">
      <c r="C129" s="30" t="n"/>
    </row>
    <row r="130" ht="15" customHeight="1">
      <c r="C130" s="30" t="n"/>
    </row>
    <row r="131" ht="15" customHeight="1">
      <c r="C131" s="30" t="n"/>
    </row>
    <row r="132" ht="15" customHeight="1">
      <c r="C132" s="30" t="n"/>
    </row>
    <row r="133" ht="15" customHeight="1"/>
  </sheetData>
  <autoFilter ref="A1:N36"/>
  <pageMargins left="0.7" right="0.7" top="0.75" bottom="0.75" header="0.3" footer="0.3"/>
  <pageSetup orientation="landscape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33"/>
  <sheetViews>
    <sheetView topLeftCell="C2" zoomScale="49" zoomScaleNormal="49" workbookViewId="0">
      <selection activeCell="D8" sqref="D8:D10"/>
    </sheetView>
  </sheetViews>
  <sheetFormatPr baseColWidth="8" defaultColWidth="8.75" defaultRowHeight="15"/>
  <cols>
    <col width="11" customWidth="1" style="29" min="1" max="1"/>
    <col width="60.75" customWidth="1" min="3" max="3"/>
    <col width="25.25" customWidth="1" min="4" max="4"/>
    <col width="9" bestFit="1" customWidth="1" min="5" max="7"/>
    <col width="11.5" bestFit="1" customWidth="1" min="8" max="8"/>
    <col width="9.5" customWidth="1" min="9" max="9"/>
    <col width="31.875" customWidth="1" style="423" min="10" max="10"/>
    <col width="9" bestFit="1" customWidth="1" style="424" min="11" max="12"/>
    <col width="15.125" customWidth="1" style="424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5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Format="1" customHeight="1" s="112">
      <c r="A2" s="145" t="inlineStr">
        <is>
          <t>545239</t>
        </is>
      </c>
      <c r="B2" s="46" t="n">
        <v>0.04166666666666666</v>
      </c>
      <c r="C2" s="93" t="inlineStr">
        <is>
          <t>TST &gt; AP</t>
        </is>
      </c>
      <c r="D2" s="498" t="inlineStr">
        <is>
          <t>Abble RN377 9551 4488</t>
        </is>
      </c>
      <c r="E2" s="103" t="inlineStr">
        <is>
          <t>Done</t>
        </is>
      </c>
      <c r="F2" s="113" t="n">
        <v>0.04166666666666666</v>
      </c>
      <c r="G2" s="113" t="n">
        <v>0.06111111111111111</v>
      </c>
      <c r="H2" s="39" t="n"/>
      <c r="I2" s="438" t="n"/>
      <c r="J2" s="507" t="inlineStr">
        <is>
          <t>Ot$60</t>
        </is>
      </c>
      <c r="K2" s="488" t="n">
        <v>60</v>
      </c>
      <c r="L2" s="489" t="n">
        <v>400</v>
      </c>
      <c r="M2" s="437">
        <f>SUM(K2:L2)</f>
        <v/>
      </c>
      <c r="N2" s="437" t="n">
        <v>30</v>
      </c>
    </row>
    <row r="3" ht="17.25" customFormat="1" customHeight="1" s="112">
      <c r="A3" s="145" t="inlineStr">
        <is>
          <t>545240</t>
        </is>
      </c>
      <c r="B3" s="46" t="n">
        <v>0.1041666666666667</v>
      </c>
      <c r="C3" s="93" t="inlineStr">
        <is>
          <t>TST &gt; AP</t>
        </is>
      </c>
      <c r="D3" s="498" t="inlineStr">
        <is>
          <t>Abble RN377 9551 4488</t>
        </is>
      </c>
      <c r="E3" s="181" t="inlineStr">
        <is>
          <t>Done</t>
        </is>
      </c>
      <c r="F3" s="113" t="n">
        <v>0.1041666666666667</v>
      </c>
      <c r="G3" s="113" t="n">
        <v>0.125</v>
      </c>
      <c r="H3" s="93" t="n"/>
      <c r="I3" s="433" t="n"/>
      <c r="J3" s="507" t="inlineStr">
        <is>
          <t>Ot$60</t>
        </is>
      </c>
      <c r="K3" s="488" t="n">
        <v>60</v>
      </c>
      <c r="L3" s="489" t="n">
        <v>400</v>
      </c>
      <c r="M3" s="437">
        <f>SUM(K3:L3)</f>
        <v/>
      </c>
      <c r="N3" s="437" t="n">
        <v>30</v>
      </c>
    </row>
    <row r="4" ht="17.25" customFormat="1" customHeight="1" s="112">
      <c r="A4" s="145" t="inlineStr">
        <is>
          <t>545458</t>
        </is>
      </c>
      <c r="B4" s="46" t="n">
        <v>0.2152777777777778</v>
      </c>
      <c r="C4" s="93" t="inlineStr">
        <is>
          <t>QY516 &gt; Cordis</t>
        </is>
      </c>
      <c r="D4" s="498" t="inlineStr">
        <is>
          <t>Abble RN377 9551 4488</t>
        </is>
      </c>
      <c r="E4" s="181" t="inlineStr">
        <is>
          <t>Done</t>
        </is>
      </c>
      <c r="F4" s="113" t="n">
        <v>0.1840277777777778</v>
      </c>
      <c r="G4" s="113" t="n">
        <v>0.2048611111111111</v>
      </c>
      <c r="H4" s="93" t="n"/>
      <c r="I4" s="433" t="n"/>
      <c r="J4" s="441" t="inlineStr">
        <is>
          <t>P$35,ot$60</t>
        </is>
      </c>
      <c r="K4" s="437" t="n">
        <v>95</v>
      </c>
      <c r="L4" s="477" t="n">
        <v>400</v>
      </c>
      <c r="M4" s="437">
        <f>SUM(K4:L4)</f>
        <v/>
      </c>
      <c r="N4" s="437" t="n">
        <v>30</v>
      </c>
    </row>
    <row r="5" ht="17.25" customFormat="1" customHeight="1" s="112">
      <c r="A5" s="145" t="inlineStr">
        <is>
          <t>545458</t>
        </is>
      </c>
      <c r="B5" s="46" t="n">
        <v>0.2152777777777778</v>
      </c>
      <c r="C5" s="93" t="inlineStr">
        <is>
          <t>QY516 &gt; Cordis</t>
        </is>
      </c>
      <c r="D5" s="440" t="inlineStr">
        <is>
          <t>Ricky ZJ6071 5108 9715</t>
        </is>
      </c>
      <c r="E5" s="181" t="inlineStr">
        <is>
          <t>Done</t>
        </is>
      </c>
      <c r="F5" s="113" t="n">
        <v>0.1840277777777778</v>
      </c>
      <c r="G5" s="113" t="n">
        <v>0.2048611111111111</v>
      </c>
      <c r="H5" s="93" t="n"/>
      <c r="I5" s="433" t="n"/>
      <c r="J5" s="441" t="inlineStr">
        <is>
          <t>P$35,ot$60</t>
        </is>
      </c>
      <c r="K5" s="437" t="n">
        <v>95</v>
      </c>
      <c r="L5" s="477" t="n">
        <v>400</v>
      </c>
      <c r="M5" s="437">
        <f>SUM(K5:L5)</f>
        <v/>
      </c>
      <c r="N5" s="437" t="n">
        <v>30</v>
      </c>
    </row>
    <row r="6" ht="17.25" customFormat="1" customHeight="1" s="6">
      <c r="A6" s="163" t="inlineStr">
        <is>
          <t>545224</t>
        </is>
      </c>
      <c r="B6" s="48" t="n">
        <v>0.2152777777777778</v>
      </c>
      <c r="C6" s="163" t="inlineStr">
        <is>
          <t>Cordis &gt; AP</t>
        </is>
      </c>
      <c r="D6" s="440" t="inlineStr">
        <is>
          <t>Joanne WH9918 6526 8463</t>
        </is>
      </c>
      <c r="E6" s="39" t="inlineStr">
        <is>
          <t>Done</t>
        </is>
      </c>
      <c r="F6" s="113" t="n">
        <v>0.2152777777777778</v>
      </c>
      <c r="G6" s="113" t="n">
        <v>0.2361111111111111</v>
      </c>
      <c r="H6" s="39" t="n"/>
      <c r="I6" s="438" t="n"/>
      <c r="J6" s="441" t="inlineStr">
        <is>
          <t>Ot$60</t>
        </is>
      </c>
      <c r="K6" s="488" t="n">
        <v>60</v>
      </c>
      <c r="L6" s="489" t="n">
        <v>400</v>
      </c>
      <c r="M6" s="437">
        <f>SUM(K6:L6)</f>
        <v/>
      </c>
      <c r="N6" s="437" t="n">
        <v>30</v>
      </c>
    </row>
    <row r="7" ht="17.25" customFormat="1" customHeight="1" s="6">
      <c r="A7" s="91" t="inlineStr">
        <is>
          <t>545544</t>
        </is>
      </c>
      <c r="B7" s="48" t="n">
        <v>0.3715277777777778</v>
      </c>
      <c r="C7" s="39" t="inlineStr">
        <is>
          <t>Cordis &gt; AP</t>
        </is>
      </c>
      <c r="D7" s="93" t="inlineStr">
        <is>
          <t>Keith CK9898 9888 0261</t>
        </is>
      </c>
      <c r="E7" s="39" t="inlineStr">
        <is>
          <t>Done</t>
        </is>
      </c>
      <c r="F7" s="40" t="n">
        <v>0.3701388888888889</v>
      </c>
      <c r="G7" s="40" t="n">
        <v>0.3875</v>
      </c>
      <c r="H7" s="449" t="n"/>
      <c r="I7" s="438" t="n"/>
      <c r="J7" s="441" t="n"/>
      <c r="K7" s="437" t="n"/>
      <c r="L7" s="477" t="n">
        <v>400</v>
      </c>
      <c r="M7" s="437">
        <f>SUM(K7:L7)</f>
        <v/>
      </c>
      <c r="N7" s="437" t="n">
        <v>30</v>
      </c>
    </row>
    <row r="8" ht="17.25" customFormat="1" customHeight="1" s="6">
      <c r="A8" s="91" t="inlineStr">
        <is>
          <t>545540</t>
        </is>
      </c>
      <c r="B8" s="100" t="n">
        <v>0.3854166666666667</v>
      </c>
      <c r="C8" s="39" t="inlineStr">
        <is>
          <t>3v401a &gt; Cordis</t>
        </is>
      </c>
      <c r="D8" s="101" t="inlineStr">
        <is>
          <t>Jacky CT8022 6998 6953</t>
        </is>
      </c>
      <c r="E8" s="39" t="inlineStr">
        <is>
          <t>Done</t>
        </is>
      </c>
      <c r="F8" s="40" t="n">
        <v>0.3854166666666667</v>
      </c>
      <c r="G8" s="40" t="n">
        <v>0.40625</v>
      </c>
      <c r="H8" s="39" t="n"/>
      <c r="I8" s="438" t="n"/>
      <c r="J8" s="446" t="n"/>
      <c r="K8" s="488" t="n"/>
      <c r="L8" s="489" t="n">
        <v>400</v>
      </c>
      <c r="M8" s="437">
        <f>SUM(K8:L8)</f>
        <v/>
      </c>
      <c r="N8" s="437" t="n">
        <v>30</v>
      </c>
    </row>
    <row r="9" ht="17.25" customFormat="1" customHeight="1" s="6">
      <c r="A9" s="91" t="inlineStr">
        <is>
          <t>545540</t>
        </is>
      </c>
      <c r="B9" s="100" t="n">
        <v>0.3854166666666667</v>
      </c>
      <c r="C9" s="39" t="inlineStr">
        <is>
          <t>3v401a &gt; Cordis</t>
        </is>
      </c>
      <c r="D9" s="101" t="inlineStr">
        <is>
          <t>Keith CK9898 9888 0261</t>
        </is>
      </c>
      <c r="E9" s="39" t="inlineStr">
        <is>
          <t>Done</t>
        </is>
      </c>
      <c r="F9" s="40" t="n">
        <v>0.3854166666666667</v>
      </c>
      <c r="G9" s="40" t="n">
        <v>0.40625</v>
      </c>
      <c r="H9" s="39" t="n"/>
      <c r="I9" s="438" t="n"/>
      <c r="J9" s="446" t="inlineStr">
        <is>
          <t>P$35</t>
        </is>
      </c>
      <c r="K9" s="488" t="n">
        <v>35</v>
      </c>
      <c r="L9" s="489" t="n">
        <v>400</v>
      </c>
      <c r="M9" s="437">
        <f>SUM(K9:L9)</f>
        <v/>
      </c>
      <c r="N9" s="437" t="n">
        <v>30</v>
      </c>
    </row>
    <row r="10" ht="17.25" customFormat="1" customHeight="1" s="6">
      <c r="A10" s="91" t="inlineStr">
        <is>
          <t>545371</t>
        </is>
      </c>
      <c r="B10" s="100" t="n">
        <v>0.4583333333333333</v>
      </c>
      <c r="C10" s="39" t="inlineStr">
        <is>
          <t>TST &gt; AP</t>
        </is>
      </c>
      <c r="D10" s="101" t="inlineStr">
        <is>
          <t>Keith CK9898 9888 0261</t>
        </is>
      </c>
      <c r="E10" s="39" t="inlineStr">
        <is>
          <t>Done</t>
        </is>
      </c>
      <c r="F10" s="40" t="n">
        <v>0.4597222222222222</v>
      </c>
      <c r="G10" s="40" t="n">
        <v>0.4826388888888889</v>
      </c>
      <c r="H10" s="39" t="n"/>
      <c r="I10" s="438" t="n"/>
      <c r="J10" s="446" t="n"/>
      <c r="K10" s="488" t="n"/>
      <c r="L10" s="489" t="n">
        <v>400</v>
      </c>
      <c r="M10" s="437">
        <f>SUM(K10:L10)</f>
        <v/>
      </c>
      <c r="N10" s="437" t="n">
        <v>30</v>
      </c>
    </row>
    <row r="11" ht="17.25" customHeight="1">
      <c r="A11" s="45" t="inlineStr">
        <is>
          <t>545372</t>
        </is>
      </c>
      <c r="B11" s="100" t="n">
        <v>0.4791666666666667</v>
      </c>
      <c r="C11" s="93" t="inlineStr">
        <is>
          <t>MB504 &gt; TST</t>
        </is>
      </c>
      <c r="D11" s="508" t="inlineStr">
        <is>
          <t>Jacky CT8022 6998 6953</t>
        </is>
      </c>
      <c r="E11" s="103" t="inlineStr">
        <is>
          <t>Done</t>
        </is>
      </c>
      <c r="F11" s="113" t="n">
        <v>0.4861111111111111</v>
      </c>
      <c r="G11" s="113" t="n">
        <v>0.5138888888888888</v>
      </c>
      <c r="H11" s="39" t="n"/>
      <c r="I11" s="438" t="n"/>
      <c r="J11" s="507" t="n"/>
      <c r="K11" s="488" t="n"/>
      <c r="L11" s="489" t="n">
        <v>400</v>
      </c>
      <c r="M11" s="437">
        <f>SUM(K11:L11)</f>
        <v/>
      </c>
      <c r="N11" s="437" t="n">
        <v>30</v>
      </c>
    </row>
    <row r="12" ht="17.25" customHeight="1">
      <c r="A12" s="45" t="inlineStr">
        <is>
          <t>545372</t>
        </is>
      </c>
      <c r="B12" s="100" t="n">
        <v>0.4791666666666667</v>
      </c>
      <c r="C12" s="93" t="inlineStr">
        <is>
          <t>MB504 &gt; TST</t>
        </is>
      </c>
      <c r="D12" s="508" t="inlineStr">
        <is>
          <t>Kimbo ME3333 6676 7265</t>
        </is>
      </c>
      <c r="E12" s="103" t="inlineStr">
        <is>
          <t>Done</t>
        </is>
      </c>
      <c r="F12" s="113" t="n">
        <v>0.4861111111111111</v>
      </c>
      <c r="G12" s="113" t="n">
        <v>0.5138888888888888</v>
      </c>
      <c r="H12" s="39" t="n"/>
      <c r="I12" s="438" t="n"/>
      <c r="J12" s="507" t="inlineStr">
        <is>
          <t>P $35</t>
        </is>
      </c>
      <c r="K12" s="488" t="n">
        <v>35</v>
      </c>
      <c r="L12" s="489" t="n">
        <v>400</v>
      </c>
      <c r="M12" s="437">
        <f>SUM(K12:L12)</f>
        <v/>
      </c>
      <c r="N12" s="437" t="n">
        <v>30</v>
      </c>
    </row>
    <row r="13" ht="17.25" customHeight="1">
      <c r="A13" s="254" t="inlineStr">
        <is>
          <t>545373</t>
        </is>
      </c>
      <c r="B13" s="168" t="n">
        <v>0.5208333333333334</v>
      </c>
      <c r="C13" s="165" t="inlineStr">
        <is>
          <t>TST &gt; AP</t>
        </is>
      </c>
      <c r="D13" s="432" t="inlineStr">
        <is>
          <t>Jacky CT8022 6998 6953</t>
        </is>
      </c>
      <c r="E13" s="93" t="inlineStr">
        <is>
          <t>Done</t>
        </is>
      </c>
      <c r="F13" s="113" t="n">
        <v>0.5347222222222222</v>
      </c>
      <c r="G13" s="113" t="n">
        <v>0.5555555555555556</v>
      </c>
      <c r="H13" s="93" t="n"/>
      <c r="I13" s="433" t="n"/>
      <c r="J13" s="507" t="n"/>
      <c r="K13" s="437" t="n"/>
      <c r="L13" s="436" t="n">
        <v>400</v>
      </c>
      <c r="M13" s="448">
        <f>SUM(K13:L13)</f>
        <v/>
      </c>
      <c r="N13" s="437" t="n">
        <v>30</v>
      </c>
    </row>
    <row r="14" ht="17.25" customHeight="1">
      <c r="A14" s="254" t="inlineStr">
        <is>
          <t>545616</t>
        </is>
      </c>
      <c r="B14" s="168" t="n">
        <v>0.5208333333333334</v>
      </c>
      <c r="C14" s="165" t="inlineStr">
        <is>
          <t>Kai Tak on hire</t>
        </is>
      </c>
      <c r="D14" s="93" t="inlineStr">
        <is>
          <t>Anthony YV139 6682 6557</t>
        </is>
      </c>
      <c r="E14" s="93" t="inlineStr">
        <is>
          <t>Done</t>
        </is>
      </c>
      <c r="F14" s="113" t="n">
        <v>0.5208333333333334</v>
      </c>
      <c r="G14" s="113" t="n">
        <v>0.6875</v>
      </c>
      <c r="H14" s="93" t="n"/>
      <c r="I14" s="433" t="n"/>
      <c r="J14" s="507" t="inlineStr">
        <is>
          <t>隧道$60</t>
        </is>
      </c>
      <c r="K14" s="437" t="n">
        <v>60</v>
      </c>
      <c r="L14" s="436" t="n">
        <v>920</v>
      </c>
      <c r="M14" s="448">
        <f>SUM(K14:L14)</f>
        <v/>
      </c>
      <c r="N14" s="437" t="n">
        <v>30</v>
      </c>
      <c r="O14" s="144" t="n"/>
      <c r="P14" s="144" t="inlineStr">
        <is>
          <t>啟德-尖沙咀-啟德</t>
        </is>
      </c>
    </row>
    <row r="15" ht="17.25" customFormat="1" customHeight="1" s="6">
      <c r="A15" s="159" t="inlineStr">
        <is>
          <t>545628</t>
        </is>
      </c>
      <c r="B15" s="312" t="n">
        <v>0.5208333333333334</v>
      </c>
      <c r="C15" s="165" t="inlineStr">
        <is>
          <t>Ap &gt; TST</t>
        </is>
      </c>
      <c r="D15" s="167" t="inlineStr">
        <is>
          <t>Keith CK9898 9888 0261</t>
        </is>
      </c>
      <c r="E15" s="165" t="inlineStr">
        <is>
          <t>Done</t>
        </is>
      </c>
      <c r="F15" s="166" t="n">
        <v>0.575</v>
      </c>
      <c r="G15" s="166" t="n">
        <v>0.5972222222222222</v>
      </c>
      <c r="H15" s="165" t="n"/>
      <c r="I15" s="446" t="n"/>
      <c r="J15" s="446" t="inlineStr">
        <is>
          <t xml:space="preserve">0.5 hour wait$90, p$35 </t>
        </is>
      </c>
      <c r="K15" s="488" t="n">
        <v>125</v>
      </c>
      <c r="L15" s="489" t="n">
        <v>400</v>
      </c>
      <c r="M15" s="448">
        <f>SUM(K15:L15)</f>
        <v/>
      </c>
      <c r="N15" s="437" t="n">
        <v>30</v>
      </c>
    </row>
    <row r="16" ht="17.25" customHeight="1">
      <c r="A16" s="47" t="inlineStr">
        <is>
          <t>545285</t>
        </is>
      </c>
      <c r="B16" s="48" t="n">
        <v>0.3645833333333333</v>
      </c>
      <c r="C16" s="39" t="inlineStr">
        <is>
          <t>香港萬怡酒店 onhire</t>
        </is>
      </c>
      <c r="D16" s="454" t="inlineStr">
        <is>
          <t>Frankie FB655 6676 8669</t>
        </is>
      </c>
      <c r="E16" s="39" t="inlineStr">
        <is>
          <t>Done</t>
        </is>
      </c>
      <c r="F16" s="40" t="n">
        <v>0.3645833333333333</v>
      </c>
      <c r="G16" s="40" t="n">
        <v>0.7395833333333334</v>
      </c>
      <c r="H16" s="39" t="n"/>
      <c r="I16" s="438" t="n"/>
      <c r="J16" s="441" t="inlineStr">
        <is>
          <t>9 hour on hire, 隧道$180</t>
        </is>
      </c>
      <c r="K16" s="437" t="n">
        <v>180</v>
      </c>
      <c r="L16" s="436" t="n">
        <v>2070</v>
      </c>
      <c r="M16" s="448">
        <f>SUM(K16:L16)</f>
        <v/>
      </c>
      <c r="N16" s="437" t="n">
        <v>30</v>
      </c>
      <c r="P16" t="inlineStr">
        <is>
          <t>酒店-麗斯卡爾頓-萬麗海景-陸海通大廈-港島香格里拉-西環萬宜-麗斯卡爾頓-西環萬宜-IFC一-置地-太古廣場-西環萬宜-太古廣場-萬麗海景</t>
        </is>
      </c>
    </row>
    <row r="17" ht="17.25" customHeight="1">
      <c r="A17" s="45" t="n"/>
      <c r="B17" s="46" t="n"/>
      <c r="C17" s="39" t="n"/>
      <c r="D17" s="440" t="n"/>
      <c r="E17" s="39" t="n"/>
      <c r="F17" s="40" t="n"/>
      <c r="G17" s="40" t="n"/>
      <c r="H17" s="39" t="n"/>
      <c r="I17" s="438" t="n"/>
      <c r="J17" s="441" t="n"/>
      <c r="K17" s="437" t="n"/>
      <c r="L17" s="437" t="n"/>
      <c r="M17" s="448">
        <f>SUM(K17:L17)</f>
        <v/>
      </c>
      <c r="N17" s="437" t="n"/>
    </row>
    <row r="18" ht="17.25" customHeight="1">
      <c r="A18" s="1" t="n"/>
      <c r="B18" s="8" t="n"/>
      <c r="C18" s="53" t="n"/>
      <c r="D18" s="425" t="n"/>
      <c r="E18" s="53" t="n"/>
      <c r="F18" s="61" t="n"/>
      <c r="G18" s="61" t="n"/>
      <c r="H18" s="53" t="n"/>
      <c r="I18" s="453" t="n"/>
      <c r="J18" s="455" t="n"/>
      <c r="K18" s="451" t="n"/>
      <c r="L18" s="451" t="n"/>
      <c r="M18" s="448">
        <f>SUM(K18:L18)</f>
        <v/>
      </c>
      <c r="N18" s="437" t="n"/>
    </row>
    <row r="19" ht="17.25" customHeight="1">
      <c r="A19" s="51" t="n"/>
      <c r="B19" s="62" t="n"/>
      <c r="C19" s="53" t="n"/>
      <c r="D19" s="425" t="n"/>
      <c r="E19" s="53" t="n"/>
      <c r="F19" s="61" t="n"/>
      <c r="G19" s="61" t="n"/>
      <c r="H19" s="53" t="n"/>
      <c r="I19" s="453" t="n"/>
      <c r="J19" s="507" t="n"/>
      <c r="K19" s="451" t="n"/>
      <c r="L19" s="451" t="n"/>
      <c r="M19" s="448">
        <f>SUM(K19:L19)</f>
        <v/>
      </c>
      <c r="N19" s="437" t="n"/>
    </row>
    <row r="20">
      <c r="A20" s="51" t="n"/>
      <c r="B20" s="62" t="n"/>
      <c r="C20" s="53" t="n"/>
      <c r="D20" s="425" t="n"/>
      <c r="E20" s="53" t="n"/>
      <c r="F20" s="61" t="n"/>
      <c r="G20" s="61" t="n"/>
      <c r="H20" s="53" t="n"/>
      <c r="I20" s="453" t="n"/>
      <c r="J20" s="441" t="n"/>
      <c r="K20" s="451" t="n"/>
      <c r="L20" s="451" t="n"/>
      <c r="M20" s="448">
        <f>SUM(K20:L20)</f>
        <v/>
      </c>
      <c r="N20" s="437" t="n"/>
    </row>
    <row r="21">
      <c r="A21" s="51" t="n"/>
      <c r="B21" s="62" t="n"/>
      <c r="C21" s="53" t="n"/>
      <c r="D21" s="425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48">
        <f>SUM(K21:L21)</f>
        <v/>
      </c>
      <c r="N21" s="437" t="n"/>
    </row>
    <row r="22">
      <c r="A22" s="51" t="n"/>
      <c r="B22" s="62" t="n"/>
      <c r="C22" s="53" t="n"/>
      <c r="D22" s="425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48">
        <f>SUM(K22:L22)</f>
        <v/>
      </c>
      <c r="N22" s="437" t="n"/>
    </row>
    <row r="23">
      <c r="A23" s="51" t="n"/>
      <c r="B23" s="62" t="n"/>
      <c r="C23" s="53" t="n"/>
      <c r="D23" s="456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48">
        <f>SUM(K23:L23)</f>
        <v/>
      </c>
      <c r="N23" s="437" t="n"/>
    </row>
    <row r="24">
      <c r="A24" s="51" t="n"/>
      <c r="B24" s="62" t="n"/>
      <c r="C24" s="53" t="n"/>
      <c r="D24" s="53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48">
        <f>SUM(K24:L24)</f>
        <v/>
      </c>
      <c r="N24" s="437" t="n"/>
    </row>
    <row r="25">
      <c r="A25" s="51" t="n"/>
      <c r="B25" s="62" t="n"/>
      <c r="C25" s="53" t="n"/>
      <c r="D25" s="425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48">
        <f>SUM(K25:L25)</f>
        <v/>
      </c>
      <c r="N25" s="437" t="n"/>
    </row>
    <row r="26">
      <c r="A26" s="51" t="n"/>
      <c r="B26" s="62" t="n"/>
      <c r="C26" s="53" t="n"/>
      <c r="D26" s="476" t="n"/>
      <c r="E26" s="53" t="n"/>
      <c r="F26" s="61" t="n"/>
      <c r="G26" s="61" t="n"/>
      <c r="H26" s="53" t="n"/>
      <c r="I26" s="453" t="n"/>
      <c r="J26" s="455" t="n"/>
      <c r="K26" s="451" t="n"/>
      <c r="L26" s="451" t="n"/>
      <c r="M26" s="448">
        <f>SUM(K26:L26)</f>
        <v/>
      </c>
      <c r="N26" s="437" t="n"/>
    </row>
    <row r="27">
      <c r="A27" s="51" t="n"/>
      <c r="B27" s="62" t="n"/>
      <c r="C27" s="53" t="n"/>
      <c r="D27" s="425" t="n"/>
      <c r="E27" s="53" t="n"/>
      <c r="F27" s="61" t="n"/>
      <c r="G27" s="61" t="n"/>
      <c r="H27" s="53" t="n"/>
      <c r="I27" s="453" t="n"/>
      <c r="J27" s="455" t="n"/>
      <c r="K27" s="451" t="n"/>
      <c r="L27" s="451" t="n"/>
      <c r="M27" s="448">
        <f>SUM(K27:L27)</f>
        <v/>
      </c>
      <c r="N27" s="437" t="n"/>
    </row>
    <row r="28">
      <c r="A28" s="51" t="n"/>
      <c r="B28" s="62" t="n"/>
      <c r="C28" s="53" t="n"/>
      <c r="D28" s="9" t="n"/>
      <c r="E28" s="53" t="n"/>
      <c r="F28" s="61" t="n"/>
      <c r="G28" s="61" t="n"/>
      <c r="H28" s="53" t="n"/>
      <c r="I28" s="453" t="n"/>
      <c r="J28" s="455" t="n"/>
      <c r="K28" s="451" t="n"/>
      <c r="L28" s="451" t="n"/>
      <c r="M28" s="448">
        <f>SUM(K28:L28)</f>
        <v/>
      </c>
      <c r="N28" s="437" t="n"/>
    </row>
    <row r="29">
      <c r="A29" s="51" t="n"/>
      <c r="B29" s="62" t="n"/>
      <c r="C29" s="53" t="n"/>
      <c r="D29" s="425" t="n"/>
      <c r="E29" s="53" t="n"/>
      <c r="F29" s="61" t="n"/>
      <c r="G29" s="61" t="n"/>
      <c r="H29" s="53" t="n"/>
      <c r="I29" s="453" t="n"/>
      <c r="J29" s="455" t="n"/>
      <c r="K29" s="451" t="n"/>
      <c r="L29" s="451" t="n"/>
      <c r="M29" s="448">
        <f>SUM(K29:L29)</f>
        <v/>
      </c>
      <c r="N29" s="437" t="n"/>
    </row>
    <row r="30">
      <c r="A30" s="51" t="n"/>
      <c r="B30" s="62" t="n"/>
      <c r="C30" s="53" t="n"/>
      <c r="D30" s="425" t="n"/>
      <c r="E30" s="53" t="n"/>
      <c r="F30" s="61" t="n"/>
      <c r="G30" s="61" t="n"/>
      <c r="H30" s="53" t="n"/>
      <c r="I30" s="453" t="n"/>
      <c r="J30" s="455" t="n"/>
      <c r="K30" s="451" t="n"/>
      <c r="L30" s="451" t="n"/>
      <c r="M30" s="448">
        <f>SUM(K30:L30)</f>
        <v/>
      </c>
      <c r="N30" s="437" t="n"/>
    </row>
    <row r="31">
      <c r="A31" s="51" t="n"/>
      <c r="B31" s="62" t="n"/>
      <c r="C31" s="53" t="n"/>
      <c r="D31" s="456" t="n"/>
      <c r="E31" s="10" t="n"/>
      <c r="F31" s="61" t="n"/>
      <c r="G31" s="61" t="n"/>
      <c r="H31" s="10" t="n"/>
      <c r="I31" s="461" t="n"/>
      <c r="J31" s="458" t="n"/>
      <c r="K31" s="459" t="n"/>
      <c r="L31" s="459" t="n"/>
      <c r="M31" s="448">
        <f>SUM(K31:L31)</f>
        <v/>
      </c>
      <c r="N31" s="437" t="n"/>
    </row>
    <row r="32">
      <c r="A32" s="14" t="n"/>
      <c r="B32" s="15" t="n"/>
      <c r="C32" s="10" t="n"/>
      <c r="D32" s="425" t="n"/>
      <c r="E32" s="10" t="n"/>
      <c r="F32" s="61" t="n"/>
      <c r="G32" s="61" t="n"/>
      <c r="H32" s="10" t="n"/>
      <c r="I32" s="461" t="n"/>
      <c r="J32" s="458" t="n"/>
      <c r="K32" s="459" t="n"/>
      <c r="L32" s="459" t="n"/>
      <c r="M32" s="448">
        <f>SUM(K32:L32)</f>
        <v/>
      </c>
      <c r="N32" s="437" t="n"/>
    </row>
    <row r="33">
      <c r="A33" s="14" t="n"/>
      <c r="B33" s="15" t="n"/>
      <c r="C33" s="10" t="n"/>
      <c r="D33" s="460" t="n"/>
      <c r="E33" s="10" t="n"/>
      <c r="F33" s="61" t="n"/>
      <c r="G33" s="61" t="n"/>
      <c r="H33" s="10" t="n"/>
      <c r="I33" s="461" t="n"/>
      <c r="J33" s="458" t="n"/>
      <c r="K33" s="459" t="n"/>
      <c r="L33" s="459" t="n"/>
      <c r="M33" s="448">
        <f>SUM(K33:L33)</f>
        <v/>
      </c>
      <c r="N33" s="437" t="n"/>
    </row>
    <row r="34">
      <c r="A34" s="14" t="n"/>
      <c r="B34" s="15" t="n"/>
      <c r="C34" s="10" t="n"/>
      <c r="D34" s="460" t="n"/>
      <c r="E34" s="10" t="n"/>
      <c r="F34" s="61" t="n"/>
      <c r="G34" s="61" t="n"/>
      <c r="H34" s="10" t="n"/>
      <c r="I34" s="461" t="n"/>
      <c r="J34" s="458" t="n"/>
      <c r="K34" s="459" t="n"/>
      <c r="L34" s="459" t="n"/>
      <c r="M34" s="448">
        <f>SUM(K34:L34)</f>
        <v/>
      </c>
      <c r="N34" s="437" t="n"/>
    </row>
    <row r="35">
      <c r="A35" s="14" t="n"/>
      <c r="B35" s="15" t="n"/>
      <c r="C35" s="10" t="n"/>
      <c r="D35" s="425" t="n"/>
      <c r="E35" s="10" t="n"/>
      <c r="F35" s="61" t="n"/>
      <c r="G35" s="61" t="n"/>
      <c r="H35" s="10" t="n"/>
      <c r="I35" s="461" t="n"/>
      <c r="J35" s="458" t="n"/>
      <c r="K35" s="459" t="n"/>
      <c r="L35" s="459" t="n"/>
      <c r="M35" s="448">
        <f>SUM(K35:L35)</f>
        <v/>
      </c>
      <c r="N35" s="437" t="n"/>
    </row>
    <row r="36">
      <c r="A36" s="17" t="n"/>
      <c r="B36" s="18" t="n"/>
      <c r="C36" s="10" t="n"/>
      <c r="D36" s="452" t="n"/>
      <c r="E36" s="10" t="n"/>
      <c r="F36" s="61" t="n"/>
      <c r="G36" s="61" t="n"/>
      <c r="H36" s="10" t="n"/>
      <c r="I36" s="461" t="n"/>
      <c r="J36" s="458" t="n"/>
      <c r="K36" s="459" t="n"/>
      <c r="L36" s="459" t="n"/>
      <c r="M36" s="448">
        <f>SUM(K36:L36)</f>
        <v/>
      </c>
      <c r="N36" s="437" t="n"/>
    </row>
    <row r="37">
      <c r="A37" s="17" t="n"/>
      <c r="B37" s="18" t="n"/>
      <c r="C37" s="10" t="n"/>
      <c r="D37" s="452" t="n"/>
      <c r="E37" s="10" t="n"/>
      <c r="F37" s="61" t="n"/>
      <c r="G37" s="61" t="n"/>
      <c r="H37" s="10" t="n"/>
      <c r="I37" s="461" t="n"/>
      <c r="J37" s="458" t="n"/>
      <c r="K37" s="459" t="n"/>
      <c r="L37" s="459" t="n"/>
      <c r="M37" s="448">
        <f>SUM(K37:L37)</f>
        <v/>
      </c>
      <c r="N37" s="437" t="n"/>
    </row>
    <row r="38">
      <c r="A38" s="17" t="n"/>
      <c r="B38" s="18" t="n"/>
      <c r="C38" s="10" t="n"/>
      <c r="D38" s="452" t="n"/>
      <c r="E38" s="10" t="n"/>
      <c r="F38" s="61" t="n"/>
      <c r="G38" s="61" t="n"/>
      <c r="H38" s="10" t="n"/>
      <c r="I38" s="461" t="n"/>
      <c r="J38" s="458" t="n"/>
      <c r="K38" s="459" t="n"/>
      <c r="L38" s="459" t="n"/>
      <c r="M38" s="448">
        <f>SUM(K38:L38)</f>
        <v/>
      </c>
      <c r="N38" s="437" t="n"/>
    </row>
    <row r="39">
      <c r="A39" s="20" t="n"/>
      <c r="B39" s="21" t="n"/>
      <c r="C39" s="22" t="n"/>
      <c r="D39" s="21" t="n"/>
      <c r="E39" s="21" t="n"/>
      <c r="F39" s="21" t="n"/>
      <c r="G39" s="21" t="n"/>
      <c r="H39" s="21" t="n"/>
      <c r="J39" s="469" t="n"/>
      <c r="K39" s="470" t="n"/>
      <c r="L39" s="470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9" t="n"/>
      <c r="K40" s="470" t="n"/>
      <c r="L40" s="470" t="n"/>
      <c r="M40" s="473">
        <f>SUM(M2:M39)</f>
        <v/>
      </c>
      <c r="N40" s="473">
        <f>SUM(N2:N39)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9" t="n"/>
      <c r="K41" s="470" t="n"/>
      <c r="L41" s="470" t="n"/>
      <c r="M41" s="472" t="n"/>
      <c r="N41" s="472" t="n"/>
    </row>
    <row r="42">
      <c r="C42" s="3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048576"/>
  <sheetViews>
    <sheetView topLeftCell="C39" zoomScale="69" zoomScaleNormal="69" workbookViewId="0">
      <selection activeCell="A1" sqref="A1"/>
    </sheetView>
  </sheetViews>
  <sheetFormatPr baseColWidth="8" defaultColWidth="8.75" defaultRowHeight="15"/>
  <cols>
    <col width="10.625" customWidth="1" style="29" min="1" max="1"/>
    <col width="60.25" customWidth="1" min="3" max="3"/>
    <col width="27.25" customWidth="1" min="4" max="4"/>
    <col width="11" customWidth="1" min="5" max="5"/>
    <col width="9" bestFit="1" customWidth="1" min="6" max="7"/>
    <col width="11.5" bestFit="1" customWidth="1" min="8" max="8"/>
    <col width="9.5" customWidth="1" min="9" max="9"/>
    <col width="31.875" customWidth="1" style="423" min="10" max="10"/>
    <col width="9" bestFit="1" customWidth="1" style="424" min="11" max="12"/>
    <col width="15.125" customWidth="1" style="424" min="13" max="13"/>
  </cols>
  <sheetData>
    <row r="1" ht="17.25" customHeight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5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8" customFormat="1" customHeight="1" s="112">
      <c r="A2" s="101" t="n">
        <v>545534</v>
      </c>
      <c r="B2" s="100" t="n">
        <v>0.1388888888888889</v>
      </c>
      <c r="C2" s="93" t="inlineStr">
        <is>
          <t>TST &gt; AP</t>
        </is>
      </c>
      <c r="D2" s="101" t="inlineStr">
        <is>
          <t>Keith CK9898 9888 0261</t>
        </is>
      </c>
      <c r="E2" s="158" t="inlineStr">
        <is>
          <t>Done</t>
        </is>
      </c>
      <c r="F2" s="113" t="n">
        <v>0.1375</v>
      </c>
      <c r="G2" s="113" t="n">
        <v>0.15625</v>
      </c>
      <c r="H2" s="158" t="n"/>
      <c r="I2" s="509" t="n"/>
      <c r="J2" s="507" t="inlineStr">
        <is>
          <t>OT $60</t>
        </is>
      </c>
      <c r="K2" s="488" t="n">
        <v>60</v>
      </c>
      <c r="L2" s="489" t="n">
        <v>400</v>
      </c>
      <c r="M2" s="437">
        <f>SUM(K2:L2)</f>
        <v/>
      </c>
      <c r="N2" s="437" t="n">
        <v>30</v>
      </c>
    </row>
    <row r="3" ht="18" customFormat="1" customHeight="1" s="112">
      <c r="A3" s="91" t="inlineStr">
        <is>
          <t>545535</t>
        </is>
      </c>
      <c r="B3" s="48" t="n">
        <v>0.1597222222222222</v>
      </c>
      <c r="C3" s="101" t="inlineStr">
        <is>
          <t>MB509 &gt; TST</t>
        </is>
      </c>
      <c r="D3" s="510" t="inlineStr">
        <is>
          <t>Keith CK9898 9888 0261</t>
        </is>
      </c>
      <c r="E3" s="39" t="inlineStr">
        <is>
          <t>Done</t>
        </is>
      </c>
      <c r="F3" s="40" t="n">
        <v>0.1652777777777778</v>
      </c>
      <c r="G3" s="40" t="n">
        <v>0.1840277777777778</v>
      </c>
      <c r="H3" s="39" t="n"/>
      <c r="I3" s="438" t="n"/>
      <c r="J3" s="438" t="inlineStr">
        <is>
          <t>OK $60 ， P $35</t>
        </is>
      </c>
      <c r="K3" s="437" t="n">
        <v>95</v>
      </c>
      <c r="L3" s="436" t="n">
        <v>400</v>
      </c>
      <c r="M3" s="437">
        <f>SUM(K3:L3)</f>
        <v/>
      </c>
      <c r="N3" s="437" t="n">
        <v>30</v>
      </c>
    </row>
    <row r="4" ht="18" customFormat="1" customHeight="1" s="112">
      <c r="A4" s="91" t="inlineStr">
        <is>
          <t>545535</t>
        </is>
      </c>
      <c r="B4" s="48" t="n">
        <v>0.1597222222222222</v>
      </c>
      <c r="C4" s="101" t="inlineStr">
        <is>
          <t>MB509 &gt; TST</t>
        </is>
      </c>
      <c r="D4" s="510" t="inlineStr">
        <is>
          <t>Patrick WH9918 9318 2082</t>
        </is>
      </c>
      <c r="E4" s="39" t="inlineStr">
        <is>
          <t>Done</t>
        </is>
      </c>
      <c r="F4" s="40" t="n">
        <v>0.1652777777777778</v>
      </c>
      <c r="G4" s="40" t="n">
        <v>0.1840277777777778</v>
      </c>
      <c r="H4" s="39" t="n"/>
      <c r="I4" s="438" t="n"/>
      <c r="J4" s="438" t="inlineStr">
        <is>
          <t>OK $60 ， P $35</t>
        </is>
      </c>
      <c r="K4" s="437" t="n">
        <v>95</v>
      </c>
      <c r="L4" s="436" t="n">
        <v>400</v>
      </c>
      <c r="M4" s="437">
        <f>SUM(K4:L4)</f>
        <v/>
      </c>
      <c r="N4" s="437" t="n">
        <v>30</v>
      </c>
    </row>
    <row r="5" ht="18" customFormat="1" customHeight="1" s="112">
      <c r="A5" s="91" t="inlineStr">
        <is>
          <t>545536</t>
        </is>
      </c>
      <c r="B5" s="48" t="n">
        <v>0.2013888888888889</v>
      </c>
      <c r="C5" s="101" t="inlineStr">
        <is>
          <t>TST &gt; AP</t>
        </is>
      </c>
      <c r="D5" s="101" t="inlineStr">
        <is>
          <t>Jacky CT8022 6998 6953</t>
        </is>
      </c>
      <c r="E5" s="39" t="inlineStr">
        <is>
          <t>Done</t>
        </is>
      </c>
      <c r="F5" s="40" t="n">
        <v>0.2048611111111111</v>
      </c>
      <c r="G5" s="40" t="n">
        <v>0.2256944444444444</v>
      </c>
      <c r="H5" s="39" t="n"/>
      <c r="I5" s="438" t="n"/>
      <c r="J5" s="438" t="inlineStr">
        <is>
          <t>OT $60</t>
        </is>
      </c>
      <c r="K5" s="437" t="n">
        <v>60</v>
      </c>
      <c r="L5" s="436" t="n">
        <v>400</v>
      </c>
      <c r="M5" s="437">
        <f>SUM(K5:L5)</f>
        <v/>
      </c>
      <c r="N5" s="437" t="n">
        <v>30</v>
      </c>
    </row>
    <row r="6" ht="18" customFormat="1" customHeight="1" s="112">
      <c r="A6" s="291" t="inlineStr">
        <is>
          <t>545259</t>
        </is>
      </c>
      <c r="B6" s="48" t="n">
        <v>0.28125</v>
      </c>
      <c r="C6" s="93" t="inlineStr">
        <is>
          <t>西營盤 on hire</t>
        </is>
      </c>
      <c r="D6" s="498" t="inlineStr">
        <is>
          <t>Abble RN377 9551 4488</t>
        </is>
      </c>
      <c r="E6" s="93" t="inlineStr">
        <is>
          <t>Done</t>
        </is>
      </c>
      <c r="F6" s="113" t="n">
        <v>0.28125</v>
      </c>
      <c r="G6" s="113" t="n">
        <v>0.6597222222222222</v>
      </c>
      <c r="H6" s="93" t="n"/>
      <c r="I6" s="433" t="n"/>
      <c r="J6" s="441" t="inlineStr">
        <is>
          <t>隧道$90 ，機場$200</t>
        </is>
      </c>
      <c r="K6" s="437" t="n">
        <v>290</v>
      </c>
      <c r="L6" s="477" t="n">
        <v>2070</v>
      </c>
      <c r="M6" s="437">
        <f>SUM(K6:L6)</f>
        <v/>
      </c>
      <c r="N6" s="437" t="n">
        <v>30</v>
      </c>
      <c r="P6" s="112" t="inlineStr">
        <is>
          <t>西營盤-萬麗海景-金-中環-麗斯卡-金-機場</t>
        </is>
      </c>
    </row>
    <row r="7" ht="18" customFormat="1" customHeight="1" s="6">
      <c r="A7" s="145" t="inlineStr">
        <is>
          <t>531358</t>
        </is>
      </c>
      <c r="B7" s="46" t="n">
        <v>0.6180555555555556</v>
      </c>
      <c r="C7" s="93" t="inlineStr">
        <is>
          <t xml:space="preserve">BA0031 &gt; TST </t>
        </is>
      </c>
      <c r="D7" s="498" t="inlineStr">
        <is>
          <t>Keith CK9898 9888 0261</t>
        </is>
      </c>
      <c r="E7" s="181" t="inlineStr">
        <is>
          <t>Done</t>
        </is>
      </c>
      <c r="F7" s="113" t="n">
        <v>0.6597222222222222</v>
      </c>
      <c r="G7" s="113" t="n">
        <v>0.6861111111111111</v>
      </c>
      <c r="H7" s="93" t="n"/>
      <c r="I7" s="433" t="n"/>
      <c r="J7" s="507" t="inlineStr">
        <is>
          <t>P$35</t>
        </is>
      </c>
      <c r="K7" s="488" t="n">
        <v>35</v>
      </c>
      <c r="L7" s="489" t="n">
        <v>400</v>
      </c>
      <c r="M7" s="437">
        <f>SUM(K7:L7)</f>
        <v/>
      </c>
      <c r="N7" s="437" t="n">
        <v>30</v>
      </c>
      <c r="O7" s="112" t="n"/>
      <c r="P7" s="112" t="n"/>
    </row>
    <row r="8" ht="18" customFormat="1" customHeight="1" s="6">
      <c r="A8" s="145" t="inlineStr">
        <is>
          <t>545590</t>
        </is>
      </c>
      <c r="B8" s="46" t="n">
        <v>0.7083333333333334</v>
      </c>
      <c r="C8" s="93" t="inlineStr">
        <is>
          <t>Cordis &gt; AP</t>
        </is>
      </c>
      <c r="D8" s="101" t="inlineStr">
        <is>
          <t>Keith CK9898 9888 0261</t>
        </is>
      </c>
      <c r="E8" s="181" t="inlineStr">
        <is>
          <t>Done</t>
        </is>
      </c>
      <c r="F8" s="113" t="n">
        <v>0.7430555555555556</v>
      </c>
      <c r="G8" s="113" t="n">
        <v>0.7638888888888888</v>
      </c>
      <c r="H8" s="93" t="n"/>
      <c r="I8" s="433" t="n"/>
      <c r="J8" s="507" t="n"/>
      <c r="K8" s="488" t="n"/>
      <c r="L8" s="489" t="n">
        <v>400</v>
      </c>
      <c r="M8" s="437">
        <f>SUM(K8:L8)</f>
        <v/>
      </c>
      <c r="N8" s="437" t="n">
        <v>30</v>
      </c>
      <c r="O8" s="112" t="n"/>
      <c r="P8" s="112" t="n"/>
    </row>
    <row r="9" ht="18" customFormat="1" customHeight="1" s="6">
      <c r="A9" s="145" t="inlineStr">
        <is>
          <t>545590</t>
        </is>
      </c>
      <c r="B9" s="46" t="n">
        <v>0.7083333333333334</v>
      </c>
      <c r="C9" s="93" t="inlineStr">
        <is>
          <t>Cordis &gt; AP</t>
        </is>
      </c>
      <c r="D9" s="101" t="inlineStr">
        <is>
          <t>Ben TG1211 52286200</t>
        </is>
      </c>
      <c r="E9" s="181" t="inlineStr">
        <is>
          <t>Done</t>
        </is>
      </c>
      <c r="F9" s="113" t="n">
        <v>0.7430555555555556</v>
      </c>
      <c r="G9" s="113" t="n">
        <v>0.7638888888888888</v>
      </c>
      <c r="H9" s="93" t="n"/>
      <c r="I9" s="433" t="n"/>
      <c r="J9" s="507" t="n"/>
      <c r="K9" s="488" t="n"/>
      <c r="L9" s="489" t="n">
        <v>400</v>
      </c>
      <c r="M9" s="437">
        <f>SUM(K9:L9)</f>
        <v/>
      </c>
      <c r="N9" s="437" t="n">
        <v>30</v>
      </c>
      <c r="O9" s="112" t="n"/>
      <c r="P9" s="112" t="n"/>
    </row>
    <row r="10" ht="18" customFormat="1" customHeight="1" s="71">
      <c r="A10" s="101" t="n">
        <v>545721</v>
      </c>
      <c r="B10" s="100" t="n">
        <v>0.7013888888888888</v>
      </c>
      <c r="C10" s="101" t="inlineStr">
        <is>
          <t>3V401 &gt; Cordis</t>
        </is>
      </c>
      <c r="D10" s="101" t="inlineStr">
        <is>
          <t>Leo WH9918 55881349</t>
        </is>
      </c>
      <c r="E10" s="103" t="inlineStr">
        <is>
          <t>Done</t>
        </is>
      </c>
      <c r="F10" s="40" t="n">
        <v>0.7847222222222222</v>
      </c>
      <c r="G10" s="40" t="n">
        <v>0.8055555555555556</v>
      </c>
      <c r="H10" s="449" t="n"/>
      <c r="I10" s="438" t="n"/>
      <c r="J10" s="441" t="inlineStr">
        <is>
          <t>P$35</t>
        </is>
      </c>
      <c r="K10" s="437" t="n">
        <v>35</v>
      </c>
      <c r="L10" s="436" t="n">
        <v>400</v>
      </c>
      <c r="M10" s="437">
        <f>SUM(K10:L10)</f>
        <v/>
      </c>
      <c r="N10" s="437" t="n">
        <v>30</v>
      </c>
      <c r="O10" s="152" t="n"/>
      <c r="P10" s="152" t="n"/>
    </row>
    <row r="11" ht="18" customFormat="1" customHeight="1" s="71">
      <c r="A11" s="101" t="n"/>
      <c r="B11" s="100" t="n"/>
      <c r="C11" s="101" t="n"/>
      <c r="D11" s="101" t="n"/>
      <c r="E11" s="103" t="n"/>
      <c r="F11" s="40" t="n"/>
      <c r="G11" s="40" t="n"/>
      <c r="H11" s="449" t="n"/>
      <c r="I11" s="438" t="n"/>
      <c r="J11" s="441" t="n"/>
      <c r="K11" s="437" t="n"/>
      <c r="L11" s="436" t="n"/>
      <c r="M11" s="437">
        <f>SUM(K11:L11)</f>
        <v/>
      </c>
      <c r="N11" s="437" t="n"/>
      <c r="O11" s="152" t="n"/>
      <c r="P11" s="152" t="n"/>
    </row>
    <row r="12" ht="18" customHeight="1">
      <c r="A12" s="163" t="n"/>
      <c r="B12" s="120" t="n"/>
      <c r="C12" s="93" t="n"/>
      <c r="D12" s="432" t="n"/>
      <c r="E12" s="39" t="n"/>
      <c r="F12" s="40" t="n"/>
      <c r="G12" s="40" t="n"/>
      <c r="H12" s="39" t="n"/>
      <c r="I12" s="438" t="n"/>
      <c r="J12" s="441" t="n"/>
      <c r="K12" s="437" t="n"/>
      <c r="L12" s="436" t="n"/>
      <c r="M12" s="437" t="n"/>
      <c r="N12" s="437" t="n"/>
    </row>
    <row r="13" ht="18" customHeight="1">
      <c r="A13" s="91" t="n"/>
      <c r="B13" s="92" t="n"/>
      <c r="C13" s="39" t="n"/>
      <c r="D13" s="440" t="n"/>
      <c r="E13" s="103" t="n"/>
      <c r="F13" s="40" t="n"/>
      <c r="G13" s="40" t="n"/>
      <c r="H13" s="39" t="n"/>
      <c r="I13" s="438" t="n"/>
      <c r="J13" s="441" t="n"/>
      <c r="K13" s="437" t="n"/>
      <c r="L13" s="436" t="n"/>
      <c r="M13" s="437" t="n"/>
      <c r="N13" s="437" t="n"/>
    </row>
    <row r="14" ht="18" customHeight="1">
      <c r="A14" s="47" t="n"/>
      <c r="B14" s="48" t="n"/>
      <c r="C14" s="39" t="n"/>
      <c r="D14" s="440" t="n"/>
      <c r="E14" s="39" t="n"/>
      <c r="F14" s="40" t="n"/>
      <c r="G14" s="40" t="n"/>
      <c r="H14" s="39" t="n"/>
      <c r="I14" s="438" t="n"/>
      <c r="J14" s="441" t="n"/>
      <c r="K14" s="437" t="n"/>
      <c r="L14" s="436" t="n"/>
      <c r="M14" s="437" t="n"/>
      <c r="N14" s="437" t="n"/>
    </row>
    <row r="15">
      <c r="A15" s="45" t="n"/>
      <c r="B15" s="48" t="n"/>
      <c r="C15" s="39" t="n"/>
      <c r="D15" s="440" t="n"/>
      <c r="E15" s="39" t="n"/>
      <c r="F15" s="40" t="n"/>
      <c r="G15" s="40" t="n"/>
      <c r="H15" s="39" t="n"/>
      <c r="I15" s="438" t="n"/>
      <c r="J15" s="441" t="n"/>
      <c r="K15" s="437" t="n"/>
      <c r="L15" s="436" t="n"/>
      <c r="M15" s="451" t="n"/>
      <c r="N15" s="437" t="n"/>
    </row>
    <row r="16">
      <c r="A16" s="45" t="n"/>
      <c r="B16" s="46" t="n"/>
      <c r="C16" s="39" t="n"/>
      <c r="D16" s="454" t="n"/>
      <c r="E16" s="39" t="n"/>
      <c r="F16" s="40" t="n"/>
      <c r="G16" s="40" t="n"/>
      <c r="H16" s="39" t="n"/>
      <c r="I16" s="438" t="n"/>
      <c r="J16" s="441" t="n"/>
      <c r="K16" s="437" t="n"/>
      <c r="L16" s="436" t="n"/>
      <c r="M16" s="451" t="n"/>
      <c r="N16" s="437" t="n"/>
    </row>
    <row r="17">
      <c r="A17" s="47" t="n"/>
      <c r="B17" s="48" t="n"/>
      <c r="C17" s="39" t="n"/>
      <c r="D17" s="454" t="n"/>
      <c r="E17" s="39" t="n"/>
      <c r="F17" s="40" t="n"/>
      <c r="G17" s="40" t="n"/>
      <c r="H17" s="39" t="n"/>
      <c r="I17" s="438" t="n"/>
      <c r="J17" s="441" t="n"/>
      <c r="K17" s="437" t="n"/>
      <c r="L17" s="436" t="n"/>
      <c r="M17" s="451" t="n"/>
      <c r="N17" s="437" t="n"/>
    </row>
    <row r="18">
      <c r="A18" s="45" t="n"/>
      <c r="B18" s="46" t="n"/>
      <c r="C18" s="39" t="n"/>
      <c r="D18" s="440" t="n"/>
      <c r="E18" s="39" t="n"/>
      <c r="F18" s="40" t="n"/>
      <c r="G18" s="40" t="n"/>
      <c r="H18" s="39" t="n"/>
      <c r="I18" s="438" t="n"/>
      <c r="J18" s="441" t="n"/>
      <c r="K18" s="437" t="n"/>
      <c r="L18" s="437" t="n"/>
      <c r="M18" s="451" t="n"/>
      <c r="N18" s="437" t="n"/>
    </row>
    <row r="19">
      <c r="A19" s="1" t="n"/>
      <c r="B19" s="8" t="n"/>
      <c r="C19" s="53" t="n"/>
      <c r="D19" s="425" t="n"/>
      <c r="E19" s="53" t="n"/>
      <c r="F19" s="61" t="n"/>
      <c r="G19" s="61" t="n"/>
      <c r="H19" s="53" t="n"/>
      <c r="I19" s="453" t="n"/>
      <c r="J19" s="455" t="n"/>
      <c r="K19" s="451" t="n"/>
      <c r="L19" s="451" t="n"/>
      <c r="M19" s="451" t="n"/>
      <c r="N19" s="437" t="n"/>
    </row>
    <row r="20">
      <c r="A20" s="51" t="n"/>
      <c r="B20" s="62" t="n"/>
      <c r="C20" s="53" t="n"/>
      <c r="D20" s="425" t="n"/>
      <c r="E20" s="53" t="n"/>
      <c r="F20" s="61" t="n"/>
      <c r="G20" s="61" t="n"/>
      <c r="H20" s="53" t="n"/>
      <c r="I20" s="453" t="n"/>
      <c r="J20" s="455" t="n"/>
      <c r="K20" s="451" t="n"/>
      <c r="L20" s="451" t="n"/>
      <c r="M20" s="451" t="n"/>
      <c r="N20" s="437" t="n"/>
    </row>
    <row r="21">
      <c r="A21" s="51" t="n"/>
      <c r="B21" s="62" t="n"/>
      <c r="C21" s="53" t="n"/>
      <c r="D21" s="425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51" t="n"/>
      <c r="N21" s="437" t="n"/>
    </row>
    <row r="22">
      <c r="A22" s="51" t="n"/>
      <c r="B22" s="62" t="n"/>
      <c r="C22" s="53" t="n"/>
      <c r="D22" s="425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51" t="n"/>
      <c r="N22" s="437" t="n"/>
    </row>
    <row r="23">
      <c r="A23" s="51" t="n"/>
      <c r="B23" s="62" t="n"/>
      <c r="C23" s="53" t="n"/>
      <c r="D23" s="425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51" t="n"/>
      <c r="N23" s="437" t="n"/>
    </row>
    <row r="24">
      <c r="A24" s="51" t="n"/>
      <c r="B24" s="62" t="n"/>
      <c r="C24" s="53" t="n"/>
      <c r="D24" s="456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51" t="n"/>
      <c r="N24" s="437" t="n"/>
    </row>
    <row r="25">
      <c r="A25" s="51" t="n"/>
      <c r="B25" s="62" t="n"/>
      <c r="C25" s="53" t="n"/>
      <c r="D25" s="53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51" t="n"/>
      <c r="N25" s="437" t="n"/>
    </row>
    <row r="26">
      <c r="A26" s="51" t="n"/>
      <c r="B26" s="62" t="n"/>
      <c r="C26" s="53" t="n"/>
      <c r="D26" s="425" t="n"/>
      <c r="E26" s="53" t="n"/>
      <c r="F26" s="61" t="n"/>
      <c r="G26" s="61" t="n"/>
      <c r="H26" s="53" t="n"/>
      <c r="I26" s="453" t="n"/>
      <c r="J26" s="455" t="n"/>
      <c r="K26" s="451" t="n"/>
      <c r="L26" s="451" t="n"/>
      <c r="M26" s="451" t="n"/>
      <c r="N26" s="437" t="n"/>
    </row>
    <row r="27">
      <c r="A27" s="51" t="n"/>
      <c r="B27" s="62" t="n"/>
      <c r="C27" s="53" t="n"/>
      <c r="D27" s="476" t="n"/>
      <c r="E27" s="53" t="n"/>
      <c r="F27" s="61" t="n"/>
      <c r="G27" s="61" t="n"/>
      <c r="H27" s="53" t="n"/>
      <c r="I27" s="453" t="n"/>
      <c r="J27" s="455" t="n"/>
      <c r="K27" s="451" t="n"/>
      <c r="L27" s="451" t="n"/>
      <c r="M27" s="451" t="n"/>
      <c r="N27" s="437" t="n"/>
    </row>
    <row r="28">
      <c r="A28" s="51" t="n"/>
      <c r="B28" s="62" t="n"/>
      <c r="C28" s="53" t="n"/>
      <c r="D28" s="425" t="n"/>
      <c r="E28" s="53" t="n"/>
      <c r="F28" s="61" t="n"/>
      <c r="G28" s="61" t="n"/>
      <c r="H28" s="53" t="n"/>
      <c r="I28" s="453" t="n"/>
      <c r="J28" s="455" t="n"/>
      <c r="K28" s="451" t="n"/>
      <c r="L28" s="451" t="n"/>
      <c r="M28" s="451" t="n"/>
      <c r="N28" s="437" t="n"/>
    </row>
    <row r="29">
      <c r="A29" s="51" t="n"/>
      <c r="B29" s="62" t="n"/>
      <c r="C29" s="53" t="n"/>
      <c r="D29" s="9" t="n"/>
      <c r="E29" s="53" t="n"/>
      <c r="F29" s="61" t="n"/>
      <c r="G29" s="61" t="n"/>
      <c r="H29" s="53" t="n"/>
      <c r="I29" s="453" t="n"/>
      <c r="J29" s="455" t="n"/>
      <c r="K29" s="451" t="n"/>
      <c r="L29" s="451" t="n"/>
      <c r="M29" s="451" t="n"/>
      <c r="N29" s="437" t="n"/>
    </row>
    <row r="30">
      <c r="A30" s="51" t="n"/>
      <c r="B30" s="62" t="n"/>
      <c r="C30" s="53" t="n"/>
      <c r="D30" s="425" t="n"/>
      <c r="E30" s="53" t="n"/>
      <c r="F30" s="61" t="n"/>
      <c r="G30" s="61" t="n"/>
      <c r="H30" s="53" t="n"/>
      <c r="I30" s="453" t="n"/>
      <c r="J30" s="455" t="n"/>
      <c r="K30" s="451" t="n"/>
      <c r="L30" s="451" t="n"/>
      <c r="M30" s="451" t="n"/>
      <c r="N30" s="437" t="n"/>
    </row>
    <row r="31">
      <c r="A31" s="51" t="n"/>
      <c r="B31" s="62" t="n"/>
      <c r="C31" s="53" t="n"/>
      <c r="D31" s="425" t="n"/>
      <c r="E31" s="53" t="n"/>
      <c r="F31" s="61" t="n"/>
      <c r="G31" s="61" t="n"/>
      <c r="H31" s="53" t="n"/>
      <c r="I31" s="453" t="n"/>
      <c r="J31" s="455" t="n"/>
      <c r="K31" s="451" t="n"/>
      <c r="L31" s="451" t="n"/>
      <c r="M31" s="451" t="n"/>
      <c r="N31" s="437" t="n"/>
    </row>
    <row r="32">
      <c r="A32" s="51" t="n"/>
      <c r="B32" s="62" t="n"/>
      <c r="C32" s="53" t="n"/>
      <c r="D32" s="456" t="n"/>
      <c r="E32" s="10" t="n"/>
      <c r="F32" s="61" t="n"/>
      <c r="G32" s="61" t="n"/>
      <c r="H32" s="10" t="n"/>
      <c r="I32" s="461" t="n"/>
      <c r="J32" s="458" t="n"/>
      <c r="K32" s="459" t="n"/>
      <c r="L32" s="459" t="n"/>
      <c r="M32" s="451" t="n"/>
      <c r="N32" s="437" t="n"/>
    </row>
    <row r="33">
      <c r="A33" s="14" t="n"/>
      <c r="B33" s="15" t="n"/>
      <c r="C33" s="10" t="n"/>
      <c r="D33" s="425" t="n"/>
      <c r="E33" s="10" t="n"/>
      <c r="F33" s="61" t="n"/>
      <c r="G33" s="61" t="n"/>
      <c r="H33" s="10" t="n"/>
      <c r="I33" s="461" t="n"/>
      <c r="J33" s="458" t="n"/>
      <c r="K33" s="459" t="n"/>
      <c r="L33" s="459" t="n"/>
      <c r="M33" s="451" t="n"/>
      <c r="N33" s="437" t="n"/>
    </row>
    <row r="34">
      <c r="A34" s="14" t="n"/>
      <c r="B34" s="15" t="n"/>
      <c r="C34" s="10" t="n"/>
      <c r="D34" s="460" t="n"/>
      <c r="E34" s="10" t="n"/>
      <c r="F34" s="61" t="n"/>
      <c r="G34" s="61" t="n"/>
      <c r="H34" s="10" t="n"/>
      <c r="I34" s="461" t="n"/>
      <c r="J34" s="458" t="n"/>
      <c r="K34" s="459" t="n"/>
      <c r="L34" s="459" t="n"/>
      <c r="M34" s="451" t="n"/>
      <c r="N34" s="437" t="n"/>
    </row>
    <row r="35">
      <c r="A35" s="20" t="n"/>
      <c r="B35" s="21" t="n"/>
      <c r="C35" s="22" t="n"/>
      <c r="D35" s="21" t="n"/>
      <c r="E35" s="21" t="n"/>
      <c r="F35" s="21" t="n"/>
      <c r="G35" s="21" t="n"/>
      <c r="H35" s="21" t="n"/>
      <c r="J35" s="469" t="n"/>
      <c r="K35" s="470" t="n"/>
      <c r="L35" s="470" t="n"/>
      <c r="N35" s="437" t="n"/>
    </row>
    <row r="36">
      <c r="A36" s="20" t="n"/>
      <c r="B36" s="21" t="n"/>
      <c r="C36" s="22" t="n"/>
      <c r="D36" s="21" t="n"/>
      <c r="E36" s="21" t="n"/>
      <c r="F36" s="21" t="n"/>
      <c r="G36" s="21" t="n"/>
      <c r="H36" s="21" t="n"/>
      <c r="J36" s="469" t="n"/>
      <c r="K36" s="470" t="n"/>
      <c r="L36" s="470" t="n"/>
      <c r="M36" s="473" t="n"/>
      <c r="N36" s="437" t="n"/>
    </row>
    <row r="37">
      <c r="A37" s="20" t="n"/>
      <c r="B37" s="21" t="n"/>
      <c r="C37" s="22" t="n"/>
      <c r="D37" s="21" t="n"/>
      <c r="E37" s="21" t="n"/>
      <c r="F37" s="21" t="n"/>
      <c r="G37" s="21" t="n"/>
      <c r="H37" s="21" t="n"/>
      <c r="J37" s="469" t="n"/>
      <c r="K37" s="470" t="n"/>
      <c r="L37" s="470" t="n"/>
      <c r="N37" s="437" t="n"/>
    </row>
    <row r="38">
      <c r="C38" s="30" t="n"/>
    </row>
    <row r="39">
      <c r="C39" s="30" t="n"/>
    </row>
    <row r="40">
      <c r="C40" s="30" t="n"/>
      <c r="M40" s="472">
        <f>SUM(M2:M34)</f>
        <v/>
      </c>
      <c r="N40" s="472">
        <f>SUM(N2:N34)</f>
        <v/>
      </c>
    </row>
    <row r="41">
      <c r="C41" s="30" t="n"/>
    </row>
    <row r="42">
      <c r="C42" s="3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048576">
      <c r="B1048576" s="302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filterMode="1">
    <outlinePr summaryBelow="1" summaryRight="1"/>
    <pageSetUpPr/>
  </sheetPr>
  <dimension ref="A1:P133"/>
  <sheetViews>
    <sheetView topLeftCell="C8" zoomScale="79" zoomScaleNormal="79" workbookViewId="0">
      <selection activeCell="D12" sqref="D12"/>
    </sheetView>
  </sheetViews>
  <sheetFormatPr baseColWidth="8" defaultColWidth="8.75" defaultRowHeight="15"/>
  <cols>
    <col width="10.75" customWidth="1" style="29" min="1" max="1"/>
    <col width="60.25" customWidth="1" min="3" max="3"/>
    <col width="25.25" customWidth="1" min="4" max="4"/>
    <col width="9" bestFit="1" customWidth="1" min="5" max="7"/>
    <col width="11.5" bestFit="1" customWidth="1" min="8" max="8"/>
    <col width="9.5" customWidth="1" min="9" max="9"/>
    <col width="31.875" customWidth="1" style="423" min="10" max="10"/>
    <col width="9" bestFit="1" customWidth="1" style="424" min="11" max="12"/>
    <col width="15.125" customWidth="1" style="424" min="13" max="13"/>
  </cols>
  <sheetData>
    <row r="1">
      <c r="A1" s="91" t="inlineStr">
        <is>
          <t>Ord No.</t>
        </is>
      </c>
      <c r="B1" s="148" t="inlineStr">
        <is>
          <t>Time</t>
        </is>
      </c>
      <c r="C1" s="148" t="inlineStr">
        <is>
          <t>Trip</t>
        </is>
      </c>
      <c r="D1" s="491" t="inlineStr">
        <is>
          <t>Driver</t>
        </is>
      </c>
      <c r="E1" s="491" t="inlineStr">
        <is>
          <t>Status</t>
        </is>
      </c>
      <c r="F1" s="491" t="inlineStr">
        <is>
          <t>Pick</t>
        </is>
      </c>
      <c r="G1" s="491" t="inlineStr">
        <is>
          <t>Drop</t>
        </is>
      </c>
      <c r="H1" s="491" t="inlineStr">
        <is>
          <t>Decp</t>
        </is>
      </c>
      <c r="I1" s="450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8" customFormat="1" customHeight="1" s="71">
      <c r="A2" s="101" t="n">
        <v>545897</v>
      </c>
      <c r="B2" s="100" t="n">
        <v>0.1944444444444444</v>
      </c>
      <c r="C2" s="101" t="inlineStr">
        <is>
          <t>SV964 &gt; TST</t>
        </is>
      </c>
      <c r="D2" s="101" t="inlineStr">
        <is>
          <t>Leo WH9918 55881349</t>
        </is>
      </c>
      <c r="E2" s="103" t="inlineStr">
        <is>
          <t>Done</t>
        </is>
      </c>
      <c r="F2" s="40" t="n">
        <v>0.1944444444444444</v>
      </c>
      <c r="G2" s="40" t="n">
        <v>0.2173611111111111</v>
      </c>
      <c r="H2" s="449" t="n"/>
      <c r="I2" s="438" t="n"/>
      <c r="J2" s="441" t="inlineStr">
        <is>
          <t>P$35, ot$60</t>
        </is>
      </c>
      <c r="K2" s="437" t="n">
        <v>95</v>
      </c>
      <c r="L2" s="436" t="n">
        <v>400</v>
      </c>
      <c r="M2" s="437">
        <f>SUM(K2:L2)</f>
        <v/>
      </c>
      <c r="N2" s="437" t="n">
        <v>30</v>
      </c>
      <c r="O2" s="152" t="n"/>
      <c r="P2" s="152" t="n"/>
    </row>
    <row r="3" ht="17.25" customFormat="1" customHeight="1" s="112">
      <c r="A3" s="163" t="inlineStr">
        <is>
          <t>545654</t>
        </is>
      </c>
      <c r="B3" s="120" t="n">
        <v>0.1875</v>
      </c>
      <c r="C3" s="93" t="inlineStr">
        <is>
          <t>TST &gt;AP</t>
        </is>
      </c>
      <c r="D3" s="440" t="inlineStr">
        <is>
          <t>Patrick CT8022 93182082</t>
        </is>
      </c>
      <c r="E3" s="327" t="inlineStr">
        <is>
          <t>Done</t>
        </is>
      </c>
      <c r="F3" s="113" t="n">
        <v>0.1861111111111111</v>
      </c>
      <c r="G3" s="113" t="n">
        <v>0.2048611111111111</v>
      </c>
      <c r="H3" s="449" t="n"/>
      <c r="I3" s="438" t="n"/>
      <c r="J3" s="455" t="inlineStr">
        <is>
          <t>OT$60</t>
        </is>
      </c>
      <c r="K3" s="451" t="n">
        <v>60</v>
      </c>
      <c r="L3" s="478" t="n">
        <v>400</v>
      </c>
      <c r="M3" s="451">
        <f>SUBTOTAL(9,K3:L3)</f>
        <v/>
      </c>
      <c r="N3" s="437" t="n">
        <v>30</v>
      </c>
      <c r="O3" s="217" t="n"/>
    </row>
    <row r="4" ht="17.25" customFormat="1" customHeight="1" s="112">
      <c r="A4" s="163" t="inlineStr">
        <is>
          <t>545653</t>
        </is>
      </c>
      <c r="B4" s="120" t="n">
        <v>0.1666666666666667</v>
      </c>
      <c r="C4" s="200" t="inlineStr">
        <is>
          <t>MB294 &gt; TST</t>
        </is>
      </c>
      <c r="D4" s="432" t="inlineStr">
        <is>
          <t>Ricky ZJ6071 51089715</t>
        </is>
      </c>
      <c r="E4" s="93" t="inlineStr">
        <is>
          <t>Done</t>
        </is>
      </c>
      <c r="F4" s="113" t="n">
        <v>0.1770833333333333</v>
      </c>
      <c r="G4" s="113" t="n">
        <v>0.1944444444444444</v>
      </c>
      <c r="H4" s="39" t="n"/>
      <c r="I4" s="433" t="n"/>
      <c r="J4" s="505" t="inlineStr">
        <is>
          <t>P$35, ot$60</t>
        </is>
      </c>
      <c r="K4" s="437" t="n">
        <v>95</v>
      </c>
      <c r="L4" s="436" t="n">
        <v>400</v>
      </c>
      <c r="M4" s="451">
        <f>SUBTOTAL(9,K4:L4)</f>
        <v/>
      </c>
      <c r="N4" s="437" t="n">
        <v>30</v>
      </c>
    </row>
    <row r="5" ht="17.25" customFormat="1" customHeight="1" s="112">
      <c r="A5" s="163" t="inlineStr">
        <is>
          <t>545653</t>
        </is>
      </c>
      <c r="B5" s="120" t="n">
        <v>0.1666666666666667</v>
      </c>
      <c r="C5" s="200" t="inlineStr">
        <is>
          <t>MB294 &gt; TST</t>
        </is>
      </c>
      <c r="D5" s="432" t="inlineStr">
        <is>
          <t>Chungng TG1211 5541 3309</t>
        </is>
      </c>
      <c r="E5" s="93" t="inlineStr">
        <is>
          <t>Done</t>
        </is>
      </c>
      <c r="F5" s="113" t="n">
        <v>0.1770833333333333</v>
      </c>
      <c r="G5" s="113" t="n">
        <v>0.1944444444444444</v>
      </c>
      <c r="H5" s="39" t="n"/>
      <c r="I5" s="433" t="n"/>
      <c r="J5" s="505" t="inlineStr">
        <is>
          <t>P$35, ot$60</t>
        </is>
      </c>
      <c r="K5" s="437" t="n">
        <v>95</v>
      </c>
      <c r="L5" s="436" t="n">
        <v>400</v>
      </c>
      <c r="M5" s="451">
        <f>SUBTOTAL(9,K5:L5)</f>
        <v/>
      </c>
      <c r="N5" s="437" t="n">
        <v>30</v>
      </c>
    </row>
    <row r="6" ht="17.25" customHeight="1">
      <c r="A6" s="322" t="inlineStr">
        <is>
          <t>545652</t>
        </is>
      </c>
      <c r="B6" s="48" t="n">
        <v>0.125</v>
      </c>
      <c r="C6" s="301" t="inlineStr">
        <is>
          <t>TST &gt;AP</t>
        </is>
      </c>
      <c r="D6" s="39" t="inlineStr">
        <is>
          <t>Ricky ZJ6071 51089715</t>
        </is>
      </c>
      <c r="E6" s="39" t="inlineStr">
        <is>
          <t>Done</t>
        </is>
      </c>
      <c r="F6" s="113" t="n">
        <v>0.1243055555555556</v>
      </c>
      <c r="G6" s="113" t="n">
        <v>0.1375</v>
      </c>
      <c r="H6" s="39" t="n"/>
      <c r="I6" s="438" t="n"/>
      <c r="J6" s="507" t="inlineStr">
        <is>
          <t>OT$60</t>
        </is>
      </c>
      <c r="K6" s="437" t="n">
        <v>60</v>
      </c>
      <c r="L6" s="437" t="n">
        <v>400</v>
      </c>
      <c r="M6" s="451">
        <f>SUBTOTAL(9,K6:L6)</f>
        <v/>
      </c>
      <c r="N6" s="437" t="n">
        <v>30</v>
      </c>
    </row>
    <row r="7" ht="17.25" customHeight="1">
      <c r="A7" s="159" t="inlineStr">
        <is>
          <t>545938</t>
        </is>
      </c>
      <c r="B7" s="164" t="n">
        <v>0.3680555555555556</v>
      </c>
      <c r="C7" s="165" t="inlineStr">
        <is>
          <t>Cordis &gt; Ap</t>
        </is>
      </c>
      <c r="D7" s="498" t="inlineStr">
        <is>
          <t>Abble RN377 9551 4488</t>
        </is>
      </c>
      <c r="E7" s="165" t="inlineStr">
        <is>
          <t>Done</t>
        </is>
      </c>
      <c r="F7" s="166" t="n">
        <v>0.3715277777777778</v>
      </c>
      <c r="G7" s="166" t="n">
        <v>0.3888888888888889</v>
      </c>
      <c r="H7" s="165" t="n"/>
      <c r="I7" s="446" t="n"/>
      <c r="J7" s="505" t="n"/>
      <c r="K7" s="490" t="n"/>
      <c r="L7" s="490" t="n">
        <v>400</v>
      </c>
      <c r="M7" s="451">
        <f>SUBTOTAL(9,K7:L7)</f>
        <v/>
      </c>
      <c r="N7" s="437" t="n">
        <v>30</v>
      </c>
    </row>
    <row r="8" ht="17.25" customHeight="1">
      <c r="A8" s="91" t="inlineStr">
        <is>
          <t>545895</t>
        </is>
      </c>
      <c r="B8" s="48" t="n">
        <v>0.4097222222222222</v>
      </c>
      <c r="C8" s="101" t="inlineStr">
        <is>
          <t>QY538 &gt; Cordis</t>
        </is>
      </c>
      <c r="D8" s="432" t="inlineStr">
        <is>
          <t>Abble RN377 9551 4488</t>
        </is>
      </c>
      <c r="E8" s="39" t="inlineStr">
        <is>
          <t>Done</t>
        </is>
      </c>
      <c r="F8" s="40" t="n">
        <v>0.3958333333333333</v>
      </c>
      <c r="G8" s="40" t="n">
        <v>0.4166666666666667</v>
      </c>
      <c r="H8" s="39" t="n"/>
      <c r="I8" s="438" t="n"/>
      <c r="J8" s="455" t="inlineStr">
        <is>
          <t>P$35</t>
        </is>
      </c>
      <c r="K8" s="451" t="n">
        <v>35</v>
      </c>
      <c r="L8" s="451" t="n">
        <v>400</v>
      </c>
      <c r="M8" s="451">
        <f>SUBTOTAL(9,K8:L8)</f>
        <v/>
      </c>
      <c r="N8" s="437" t="n">
        <v>30</v>
      </c>
    </row>
    <row r="9" ht="17.25" customHeight="1">
      <c r="A9" s="91" t="inlineStr">
        <is>
          <t>544122</t>
        </is>
      </c>
      <c r="B9" s="48" t="n">
        <v>0.3958333333333333</v>
      </c>
      <c r="C9" s="101" t="inlineStr">
        <is>
          <t>灣仔 &gt; HKBAC</t>
        </is>
      </c>
      <c r="D9" s="101" t="inlineStr">
        <is>
          <t>Frankie FN655 6676 8669</t>
        </is>
      </c>
      <c r="E9" s="39" t="inlineStr">
        <is>
          <t>Done</t>
        </is>
      </c>
      <c r="F9" s="40" t="n">
        <v>0.3958333333333333</v>
      </c>
      <c r="G9" s="40" t="n">
        <v>0.4166666666666667</v>
      </c>
      <c r="H9" s="39" t="n"/>
      <c r="I9" s="438" t="n"/>
      <c r="J9" s="455" t="inlineStr">
        <is>
          <t>西隧$40</t>
        </is>
      </c>
      <c r="K9" s="451" t="n">
        <v>40</v>
      </c>
      <c r="L9" s="451" t="n">
        <v>460</v>
      </c>
      <c r="M9" s="451">
        <f>SUBTOTAL(9,K9:L9)</f>
        <v/>
      </c>
      <c r="N9" s="437" t="n">
        <v>30</v>
      </c>
    </row>
    <row r="10" ht="17.25" customHeight="1">
      <c r="A10" s="101" t="n">
        <v>545884</v>
      </c>
      <c r="B10" s="100" t="n">
        <v>0.3958333333333333</v>
      </c>
      <c r="C10" s="39" t="inlineStr">
        <is>
          <t>MO on hire</t>
        </is>
      </c>
      <c r="D10" s="101" t="inlineStr">
        <is>
          <t>Keith CK9898 9888 0261</t>
        </is>
      </c>
      <c r="E10" s="39" t="inlineStr">
        <is>
          <t>Done</t>
        </is>
      </c>
      <c r="F10" s="40" t="n">
        <v>0.3958333333333333</v>
      </c>
      <c r="G10" s="40" t="n">
        <v>0.4944444444444445</v>
      </c>
      <c r="H10" s="39" t="n"/>
      <c r="I10" s="438" t="n"/>
      <c r="J10" s="507" t="inlineStr">
        <is>
          <t>AP$200, 隧道$76</t>
        </is>
      </c>
      <c r="K10" s="488" t="n">
        <v>276</v>
      </c>
      <c r="L10" s="488" t="n">
        <v>920</v>
      </c>
      <c r="M10" s="451">
        <f>SUBTOTAL(9,K10:L10)</f>
        <v/>
      </c>
      <c r="N10" s="437" t="n">
        <v>30</v>
      </c>
    </row>
    <row r="11" ht="17.25" customHeight="1">
      <c r="A11" s="91" t="inlineStr">
        <is>
          <t>544515</t>
        </is>
      </c>
      <c r="B11" s="48" t="n">
        <v>0.5625</v>
      </c>
      <c r="C11" s="39" t="inlineStr">
        <is>
          <t>Grand Hyatt &gt; AP</t>
        </is>
      </c>
      <c r="D11" s="440" t="inlineStr">
        <is>
          <t>Abble RN377 9551 4488</t>
        </is>
      </c>
      <c r="E11" s="39" t="inlineStr">
        <is>
          <t>Done</t>
        </is>
      </c>
      <c r="F11" s="40" t="n">
        <v>0.5694444444444444</v>
      </c>
      <c r="G11" s="40" t="n">
        <v>0.5902777777777778</v>
      </c>
      <c r="H11" s="39" t="n"/>
      <c r="I11" s="438" t="n"/>
      <c r="J11" s="455" t="n"/>
      <c r="K11" s="451" t="n"/>
      <c r="L11" s="451" t="n">
        <v>500</v>
      </c>
      <c r="M11" s="451">
        <f>SUBTOTAL(9,K11:L11)</f>
        <v/>
      </c>
      <c r="N11" s="437" t="n">
        <v>30</v>
      </c>
    </row>
    <row r="12" ht="17.25" customHeight="1">
      <c r="A12" s="91" t="inlineStr">
        <is>
          <t>545005</t>
        </is>
      </c>
      <c r="B12" s="154" t="n">
        <v>0.6458333333333334</v>
      </c>
      <c r="C12" s="39" t="inlineStr">
        <is>
          <t>CX750 &gt; Langham</t>
        </is>
      </c>
      <c r="D12" s="432" t="inlineStr">
        <is>
          <t>Keith CK9898 9888 0261</t>
        </is>
      </c>
      <c r="E12" s="39" t="inlineStr">
        <is>
          <t>Done</t>
        </is>
      </c>
      <c r="F12" s="40" t="n">
        <v>0.6916666666666667</v>
      </c>
      <c r="G12" s="40" t="n">
        <v>0.7152777777777778</v>
      </c>
      <c r="H12" s="39" t="n"/>
      <c r="I12" s="438" t="n"/>
      <c r="J12" s="455" t="inlineStr">
        <is>
          <t>P$35</t>
        </is>
      </c>
      <c r="K12" s="451" t="n">
        <v>35</v>
      </c>
      <c r="L12" s="451" t="n">
        <v>400</v>
      </c>
      <c r="M12" s="451">
        <f>SUBTOTAL(9,K12:L12)</f>
        <v/>
      </c>
      <c r="N12" s="437" t="n">
        <v>30</v>
      </c>
    </row>
    <row r="13" ht="17.25" customHeight="1">
      <c r="A13" s="155" t="inlineStr">
        <is>
          <t>543419</t>
        </is>
      </c>
      <c r="B13" s="154" t="n">
        <v>0.7916666666666666</v>
      </c>
      <c r="C13" s="149" t="inlineStr">
        <is>
          <t>CA115 &gt; 九龍塘</t>
        </is>
      </c>
      <c r="D13" s="511" t="inlineStr">
        <is>
          <t>Frankie FN655 6676 8669</t>
        </is>
      </c>
      <c r="E13" s="39" t="inlineStr">
        <is>
          <t>Done</t>
        </is>
      </c>
      <c r="F13" s="40" t="n">
        <v>0.8125</v>
      </c>
      <c r="G13" s="40" t="n">
        <v>0.8402777777777778</v>
      </c>
      <c r="H13" s="39" t="n"/>
      <c r="I13" s="438" t="n"/>
      <c r="J13" s="325" t="n"/>
      <c r="K13" s="451" t="n"/>
      <c r="L13" s="451" t="n">
        <v>400</v>
      </c>
      <c r="M13" s="451">
        <f>SUBTOTAL(9,K13:L13)</f>
        <v/>
      </c>
      <c r="N13" s="437" t="n">
        <v>30</v>
      </c>
    </row>
    <row r="14" ht="17.25" customHeight="1">
      <c r="A14" s="91" t="n"/>
      <c r="B14" s="92" t="n"/>
      <c r="C14" s="39" t="n"/>
      <c r="D14" s="491" t="n"/>
      <c r="E14" s="39" t="n"/>
      <c r="F14" s="40" t="n"/>
      <c r="G14" s="40" t="n"/>
      <c r="H14" s="39" t="n"/>
      <c r="I14" s="438" t="n"/>
      <c r="J14" s="455" t="n"/>
      <c r="K14" s="451" t="n"/>
      <c r="L14" s="451" t="n"/>
      <c r="M14" s="451">
        <f>SUBTOTAL(9,K14:L14)</f>
        <v/>
      </c>
      <c r="N14" s="437" t="n"/>
    </row>
    <row r="15" ht="17.25" customHeight="1">
      <c r="A15" s="51" t="n"/>
      <c r="B15" s="62" t="n"/>
      <c r="C15" s="53" t="n"/>
      <c r="D15" s="425" t="n"/>
      <c r="E15" s="53" t="n"/>
      <c r="F15" s="61" t="n"/>
      <c r="G15" s="61" t="n"/>
      <c r="H15" s="53" t="n"/>
      <c r="I15" s="453" t="n"/>
      <c r="J15" s="455" t="n"/>
      <c r="K15" s="451" t="n"/>
      <c r="L15" s="451" t="n"/>
      <c r="M15" s="451">
        <f>SUBTOTAL(9,K15:L15)</f>
        <v/>
      </c>
      <c r="N15" s="437" t="n"/>
    </row>
    <row r="16" ht="17.25" customHeight="1">
      <c r="A16" s="51" t="n"/>
      <c r="B16" s="62" t="n"/>
      <c r="C16" s="53" t="n"/>
      <c r="D16" s="425" t="n"/>
      <c r="E16" s="53" t="n"/>
      <c r="F16" s="61" t="n"/>
      <c r="G16" s="61" t="n"/>
      <c r="H16" s="53" t="n"/>
      <c r="I16" s="453" t="n"/>
      <c r="J16" s="455" t="n"/>
      <c r="K16" s="451" t="n"/>
      <c r="L16" s="451" t="n"/>
      <c r="M16" s="451">
        <f>SUBTOTAL(9,K16:L16)</f>
        <v/>
      </c>
      <c r="N16" s="437" t="n"/>
    </row>
    <row r="17" ht="17.25" customHeight="1">
      <c r="A17" s="51" t="n"/>
      <c r="B17" s="62" t="n"/>
      <c r="C17" s="53" t="n"/>
      <c r="D17" s="425" t="n"/>
      <c r="E17" s="53" t="n"/>
      <c r="F17" s="61" t="n"/>
      <c r="G17" s="61" t="n"/>
      <c r="H17" s="53" t="n"/>
      <c r="I17" s="453" t="n"/>
      <c r="J17" s="455" t="n"/>
      <c r="K17" s="451" t="n"/>
      <c r="L17" s="451" t="n"/>
      <c r="M17" s="451">
        <f>SUBTOTAL(9,K17:L17)</f>
        <v/>
      </c>
      <c r="N17" s="437" t="n"/>
    </row>
    <row r="18" ht="17.25" customHeight="1">
      <c r="A18" s="51" t="n"/>
      <c r="B18" s="62" t="n"/>
      <c r="C18" s="53" t="n"/>
      <c r="D18" s="425" t="n"/>
      <c r="E18" s="53" t="n"/>
      <c r="F18" s="61" t="n"/>
      <c r="G18" s="61" t="n"/>
      <c r="H18" s="53" t="n"/>
      <c r="I18" s="453" t="n"/>
      <c r="J18" s="455" t="n"/>
      <c r="K18" s="451" t="n"/>
      <c r="L18" s="451" t="n"/>
      <c r="M18" s="451">
        <f>SUBTOTAL(9,K18:L18)</f>
        <v/>
      </c>
      <c r="N18" s="437" t="n"/>
    </row>
    <row r="19" ht="17.25" customHeight="1">
      <c r="A19" s="51" t="n"/>
      <c r="B19" s="62" t="n"/>
      <c r="C19" s="53" t="n"/>
      <c r="D19" s="456" t="n"/>
      <c r="E19" s="53" t="n"/>
      <c r="F19" s="61" t="n"/>
      <c r="G19" s="61" t="n"/>
      <c r="H19" s="53" t="n"/>
      <c r="I19" s="453" t="n"/>
      <c r="J19" s="455" t="n"/>
      <c r="K19" s="451" t="n"/>
      <c r="L19" s="451" t="n"/>
      <c r="M19" s="451">
        <f>SUBTOTAL(9,K19:L19)</f>
        <v/>
      </c>
      <c r="N19" s="437" t="n"/>
    </row>
    <row r="20" ht="17.25" customHeight="1">
      <c r="A20" s="51" t="n"/>
      <c r="B20" s="62" t="n"/>
      <c r="C20" s="53" t="n"/>
      <c r="D20" s="53" t="n"/>
      <c r="E20" s="53" t="n"/>
      <c r="F20" s="61" t="n"/>
      <c r="G20" s="61" t="n"/>
      <c r="H20" s="53" t="n"/>
      <c r="I20" s="453" t="n"/>
      <c r="J20" s="455" t="n"/>
      <c r="K20" s="451" t="n"/>
      <c r="L20" s="451" t="n"/>
      <c r="M20" s="451">
        <f>SUBTOTAL(9,K20:L20)</f>
        <v/>
      </c>
      <c r="N20" s="437" t="n"/>
    </row>
    <row r="21" ht="17.25" customHeight="1">
      <c r="A21" s="51" t="n"/>
      <c r="B21" s="62" t="n"/>
      <c r="C21" s="53" t="n"/>
      <c r="D21" s="425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51">
        <f>SUBTOTAL(9,K21:L21)</f>
        <v/>
      </c>
      <c r="N21" s="437" t="n"/>
    </row>
    <row r="22">
      <c r="A22" s="51" t="n"/>
      <c r="B22" s="62" t="n"/>
      <c r="C22" s="53" t="n"/>
      <c r="D22" s="476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51">
        <f>SUBTOTAL(9,K22:L22)</f>
        <v/>
      </c>
      <c r="N22" s="437" t="n"/>
    </row>
    <row r="23">
      <c r="A23" s="51" t="n"/>
      <c r="B23" s="62" t="n"/>
      <c r="C23" s="53" t="n"/>
      <c r="D23" s="425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51">
        <f>SUBTOTAL(9,K23:L23)</f>
        <v/>
      </c>
      <c r="N23" s="437" t="n"/>
    </row>
    <row r="24">
      <c r="A24" s="51" t="n"/>
      <c r="B24" s="62" t="n"/>
      <c r="C24" s="53" t="n"/>
      <c r="D24" s="9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51">
        <f>SUBTOTAL(9,K24:L24)</f>
        <v/>
      </c>
      <c r="N24" s="437" t="n"/>
    </row>
    <row r="25">
      <c r="A25" s="51" t="n"/>
      <c r="B25" s="62" t="n"/>
      <c r="C25" s="53" t="n"/>
      <c r="D25" s="425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51">
        <f>SUBTOTAL(9,K25:L25)</f>
        <v/>
      </c>
      <c r="N25" s="437" t="n"/>
    </row>
    <row r="26">
      <c r="A26" s="51" t="n"/>
      <c r="B26" s="62" t="n"/>
      <c r="C26" s="53" t="n"/>
      <c r="D26" s="425" t="n"/>
      <c r="E26" s="53" t="n"/>
      <c r="F26" s="61" t="n"/>
      <c r="G26" s="61" t="n"/>
      <c r="H26" s="53" t="n"/>
      <c r="I26" s="453" t="n"/>
      <c r="J26" s="455" t="n"/>
      <c r="K26" s="451" t="n"/>
      <c r="L26" s="451" t="n"/>
      <c r="M26" s="451">
        <f>SUBTOTAL(9,K26:L26)</f>
        <v/>
      </c>
      <c r="N26" s="437" t="n"/>
    </row>
    <row r="27">
      <c r="A27" s="51" t="n"/>
      <c r="B27" s="62" t="n"/>
      <c r="C27" s="53" t="n"/>
      <c r="D27" s="456" t="n"/>
      <c r="E27" s="10" t="n"/>
      <c r="F27" s="61" t="n"/>
      <c r="G27" s="61" t="n"/>
      <c r="H27" s="10" t="n"/>
      <c r="I27" s="461" t="n"/>
      <c r="J27" s="458" t="n"/>
      <c r="K27" s="459" t="n"/>
      <c r="L27" s="459" t="n"/>
      <c r="M27" s="451">
        <f>SUBTOTAL(9,K27:L27)</f>
        <v/>
      </c>
      <c r="N27" s="437" t="n"/>
    </row>
    <row r="28">
      <c r="A28" s="14" t="n"/>
      <c r="B28" s="15" t="n"/>
      <c r="C28" s="10" t="n"/>
      <c r="D28" s="425" t="n"/>
      <c r="E28" s="10" t="n"/>
      <c r="F28" s="61" t="n"/>
      <c r="G28" s="61" t="n"/>
      <c r="H28" s="10" t="n"/>
      <c r="I28" s="461" t="n"/>
      <c r="J28" s="458" t="n"/>
      <c r="K28" s="459" t="n"/>
      <c r="L28" s="459" t="n"/>
      <c r="M28" s="451">
        <f>SUBTOTAL(9,K28:L28)</f>
        <v/>
      </c>
      <c r="N28" s="437" t="n"/>
    </row>
    <row r="29">
      <c r="A29" s="14" t="n"/>
      <c r="B29" s="15" t="n"/>
      <c r="C29" s="10" t="n"/>
      <c r="D29" s="460" t="n"/>
      <c r="E29" s="10" t="n"/>
      <c r="F29" s="61" t="n"/>
      <c r="G29" s="61" t="n"/>
      <c r="H29" s="10" t="n"/>
      <c r="I29" s="461" t="n"/>
      <c r="J29" s="458" t="n"/>
      <c r="K29" s="459" t="n"/>
      <c r="L29" s="459" t="n"/>
      <c r="M29" s="451">
        <f>SUBTOTAL(9,K29:L29)</f>
        <v/>
      </c>
      <c r="N29" s="437" t="n"/>
    </row>
    <row r="30">
      <c r="A30" s="14" t="n"/>
      <c r="B30" s="15" t="n"/>
      <c r="C30" s="10" t="n"/>
      <c r="D30" s="460" t="n"/>
      <c r="E30" s="10" t="n"/>
      <c r="F30" s="61" t="n"/>
      <c r="G30" s="61" t="n"/>
      <c r="H30" s="10" t="n"/>
      <c r="I30" s="461" t="n"/>
      <c r="J30" s="458" t="n"/>
      <c r="K30" s="459" t="n"/>
      <c r="L30" s="459" t="n"/>
      <c r="M30" s="451">
        <f>SUBTOTAL(9,K30:L30)</f>
        <v/>
      </c>
      <c r="N30" s="437" t="n"/>
    </row>
    <row r="31">
      <c r="A31" s="14" t="n"/>
      <c r="B31" s="15" t="n"/>
      <c r="C31" s="10" t="n"/>
      <c r="D31" s="425" t="n"/>
      <c r="E31" s="10" t="n"/>
      <c r="F31" s="61" t="n"/>
      <c r="G31" s="61" t="n"/>
      <c r="H31" s="10" t="n"/>
      <c r="I31" s="461" t="n"/>
      <c r="J31" s="458" t="n"/>
      <c r="K31" s="459" t="n"/>
      <c r="L31" s="459" t="n"/>
      <c r="M31" s="451">
        <f>SUBTOTAL(9,K31:L31)</f>
        <v/>
      </c>
      <c r="N31" s="437" t="n"/>
    </row>
    <row r="32">
      <c r="A32" s="17" t="n"/>
      <c r="B32" s="18" t="n"/>
      <c r="C32" s="10" t="n"/>
      <c r="D32" s="452" t="n"/>
      <c r="E32" s="10" t="n"/>
      <c r="F32" s="61" t="n"/>
      <c r="G32" s="61" t="n"/>
      <c r="H32" s="10" t="n"/>
      <c r="I32" s="461" t="n"/>
      <c r="J32" s="458" t="n"/>
      <c r="K32" s="459" t="n"/>
      <c r="L32" s="459" t="n"/>
      <c r="M32" s="451">
        <f>SUBTOTAL(9,K32:L32)</f>
        <v/>
      </c>
      <c r="N32" s="437" t="n"/>
    </row>
    <row r="33">
      <c r="A33" s="17" t="n"/>
      <c r="B33" s="18" t="n"/>
      <c r="C33" s="10" t="n"/>
      <c r="D33" s="452" t="n"/>
      <c r="E33" s="10" t="n"/>
      <c r="F33" s="61" t="n"/>
      <c r="G33" s="61" t="n"/>
      <c r="H33" s="10" t="n"/>
      <c r="I33" s="461" t="n"/>
      <c r="J33" s="458" t="n"/>
      <c r="K33" s="459" t="n"/>
      <c r="L33" s="459" t="n"/>
      <c r="M33" s="451">
        <f>SUBTOTAL(9,K33:L33)</f>
        <v/>
      </c>
      <c r="N33" s="437" t="n"/>
    </row>
    <row r="34">
      <c r="A34" s="17" t="n"/>
      <c r="B34" s="18" t="n"/>
      <c r="C34" s="10" t="n"/>
      <c r="D34" s="452" t="n"/>
      <c r="E34" s="10" t="n"/>
      <c r="F34" s="61" t="n"/>
      <c r="G34" s="61" t="n"/>
      <c r="H34" s="10" t="n"/>
      <c r="I34" s="461" t="n"/>
      <c r="J34" s="458" t="n"/>
      <c r="K34" s="459" t="n"/>
      <c r="L34" s="459" t="n"/>
      <c r="M34" s="451">
        <f>SUBTOTAL(9,K34:L34)</f>
        <v/>
      </c>
      <c r="N34" s="437" t="n"/>
    </row>
    <row r="35">
      <c r="A35" s="14" t="n"/>
      <c r="B35" s="15" t="n"/>
      <c r="C35" s="10" t="n"/>
      <c r="D35" s="476" t="n"/>
      <c r="E35" s="10" t="n"/>
      <c r="F35" s="61" t="n"/>
      <c r="G35" s="61" t="n"/>
      <c r="H35" s="10" t="n"/>
      <c r="I35" s="461" t="n"/>
      <c r="J35" s="458" t="n"/>
      <c r="K35" s="459" t="n"/>
      <c r="L35" s="459" t="n"/>
      <c r="M35" s="451">
        <f>SUBTOTAL(9,K35:L35)</f>
        <v/>
      </c>
      <c r="N35" s="437" t="n"/>
    </row>
    <row r="36">
      <c r="A36" s="14" t="n"/>
      <c r="B36" s="15" t="n"/>
      <c r="C36" s="53" t="n"/>
      <c r="D36" s="476" t="n"/>
      <c r="E36" s="53" t="n"/>
      <c r="F36" s="62" t="n"/>
      <c r="G36" s="62" t="n"/>
      <c r="H36" s="53" t="n"/>
      <c r="I36" s="453" t="n"/>
      <c r="J36" s="455" t="n"/>
      <c r="K36" s="451" t="n"/>
      <c r="L36" s="451" t="n"/>
      <c r="M36" s="451">
        <f>SUBTOTAL(9,K36:L36)</f>
        <v/>
      </c>
      <c r="N36" s="437" t="n"/>
    </row>
    <row r="37">
      <c r="A37" s="51" t="n"/>
      <c r="B37" s="62" t="n"/>
      <c r="C37" s="53" t="n"/>
      <c r="D37" s="425" t="n"/>
      <c r="E37" s="53" t="n"/>
      <c r="F37" s="62" t="n"/>
      <c r="G37" s="62" t="n"/>
      <c r="H37" s="53" t="n"/>
      <c r="I37" s="453" t="n"/>
      <c r="J37" s="455" t="n"/>
      <c r="K37" s="451" t="n"/>
      <c r="L37" s="451" t="n"/>
      <c r="M37" s="451">
        <f>SUBTOTAL(9,K37:L37)</f>
        <v/>
      </c>
      <c r="N37" s="437" t="n"/>
    </row>
    <row r="38">
      <c r="A38" s="20" t="n"/>
      <c r="B38" s="21" t="n"/>
      <c r="C38" s="22" t="n"/>
      <c r="D38" s="21" t="n"/>
      <c r="E38" s="21" t="n"/>
      <c r="F38" s="21" t="n"/>
      <c r="G38" s="21" t="n"/>
      <c r="H38" s="21" t="n"/>
      <c r="I38" s="465" t="n"/>
      <c r="J38" s="469" t="n"/>
      <c r="K38" s="470" t="n"/>
      <c r="L38" s="470" t="n"/>
      <c r="M38" s="470" t="n"/>
      <c r="N38" s="437" t="n"/>
    </row>
    <row r="39">
      <c r="A39" s="20" t="n"/>
      <c r="B39" s="21" t="n"/>
      <c r="C39" s="22" t="n"/>
      <c r="D39" s="21" t="n"/>
      <c r="E39" s="21" t="n"/>
      <c r="F39" s="21" t="n"/>
      <c r="G39" s="21" t="n"/>
      <c r="H39" s="21" t="n"/>
      <c r="J39" s="469" t="n"/>
      <c r="K39" s="470" t="n"/>
      <c r="L39" s="470" t="n"/>
      <c r="N39" s="437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9" t="n"/>
      <c r="K40" s="470" t="n"/>
      <c r="L40" s="470" t="n"/>
      <c r="M40" s="472">
        <f>SUM(M2:M39)</f>
        <v/>
      </c>
      <c r="N40" s="472">
        <f>SUM(N2:N39)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9" t="n"/>
      <c r="K41" s="470" t="n"/>
      <c r="L41" s="470" t="n"/>
    </row>
    <row r="42">
      <c r="C42" s="3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</sheetData>
  <autoFilter ref="A1:N37">
    <filterColumn colId="3">
      <filters blank="1">
        <filter val="LZ4100 Joe 63183898"/>
        <filter val="NY1494 Mr.To 56215122"/>
      </filters>
    </filterColumn>
    <sortState ref="A2:N37">
      <sortCondition ref="B1:B37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2"/>
  <sheetViews>
    <sheetView topLeftCell="C19" workbookViewId="0">
      <selection activeCell="D6" sqref="D6"/>
    </sheetView>
  </sheetViews>
  <sheetFormatPr baseColWidth="8" defaultColWidth="8.75" defaultRowHeight="15"/>
  <cols>
    <col width="10.25" customWidth="1" style="29" min="1" max="1"/>
    <col width="59.875" customWidth="1" min="3" max="3"/>
    <col width="25.25" customWidth="1" min="4" max="4"/>
    <col width="9" bestFit="1" customWidth="1" min="5" max="7"/>
    <col width="11.5" bestFit="1" customWidth="1" min="8" max="8"/>
    <col width="9.5" customWidth="1" min="9" max="9"/>
    <col width="31.875" customWidth="1" style="423" min="10" max="10"/>
    <col width="9" bestFit="1" customWidth="1" style="424" min="11" max="12"/>
    <col width="15.125" customWidth="1" style="424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5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Format="1" customHeight="1" s="112">
      <c r="A2" s="91" t="inlineStr">
        <is>
          <t>546121</t>
        </is>
      </c>
      <c r="B2" s="48" t="n">
        <v>0.1666666666666667</v>
      </c>
      <c r="C2" s="39" t="inlineStr">
        <is>
          <t>Skycity &gt; AP</t>
        </is>
      </c>
      <c r="D2" s="440" t="inlineStr">
        <is>
          <t>Eva TZ9800 9706 2468</t>
        </is>
      </c>
      <c r="E2" s="39" t="inlineStr">
        <is>
          <t>Done</t>
        </is>
      </c>
      <c r="F2" s="40" t="n">
        <v>0.1631944444444444</v>
      </c>
      <c r="G2" s="40" t="n">
        <v>0.1659722222222222</v>
      </c>
      <c r="H2" s="39" t="n"/>
      <c r="I2" s="438" t="n"/>
      <c r="J2" s="441" t="inlineStr">
        <is>
          <t>Ot$60</t>
        </is>
      </c>
      <c r="K2" s="437" t="n">
        <v>60</v>
      </c>
      <c r="L2" s="436" t="n">
        <v>250</v>
      </c>
      <c r="M2" s="437">
        <f>SUM(K2:L2)</f>
        <v/>
      </c>
      <c r="N2" s="437" t="n">
        <v>30</v>
      </c>
    </row>
    <row r="3" ht="17.25" customFormat="1" customHeight="1" s="112">
      <c r="A3" s="91" t="inlineStr">
        <is>
          <t>545720</t>
        </is>
      </c>
      <c r="B3" s="48" t="n">
        <v>0.1979166666666667</v>
      </c>
      <c r="C3" s="39" t="inlineStr">
        <is>
          <t>Cordis &gt; AP</t>
        </is>
      </c>
      <c r="D3" s="498" t="inlineStr">
        <is>
          <t>Jacky CT8022 6998 6953</t>
        </is>
      </c>
      <c r="E3" s="39" t="inlineStr">
        <is>
          <t>Done</t>
        </is>
      </c>
      <c r="F3" s="40" t="n">
        <v>0.2027777777777778</v>
      </c>
      <c r="G3" s="40" t="n">
        <v>0.2215277777777778</v>
      </c>
      <c r="H3" s="39" t="n"/>
      <c r="I3" s="438" t="n"/>
      <c r="J3" s="441" t="inlineStr">
        <is>
          <t>Ot$60</t>
        </is>
      </c>
      <c r="K3" s="437" t="n">
        <v>60</v>
      </c>
      <c r="L3" s="436" t="n">
        <v>400</v>
      </c>
      <c r="M3" s="437">
        <f>SUM(K3:L3)</f>
        <v/>
      </c>
      <c r="N3" s="437" t="n">
        <v>30</v>
      </c>
    </row>
    <row r="4" ht="17.25" customFormat="1" customHeight="1" s="112">
      <c r="A4" s="163" t="inlineStr">
        <is>
          <t>546095</t>
        </is>
      </c>
      <c r="B4" s="249" t="n">
        <v>0.1944444444444444</v>
      </c>
      <c r="C4" s="93" t="inlineStr">
        <is>
          <t>3V401 &gt; Cordis</t>
        </is>
      </c>
      <c r="D4" s="432" t="inlineStr">
        <is>
          <t>Eva TZ9800 9706 2468</t>
        </is>
      </c>
      <c r="E4" s="93" t="inlineStr">
        <is>
          <t>Done</t>
        </is>
      </c>
      <c r="F4" s="113" t="n">
        <v>0.2298611111111111</v>
      </c>
      <c r="G4" s="113" t="n">
        <v>0.2472222222222222</v>
      </c>
      <c r="H4" s="93" t="n"/>
      <c r="I4" s="433" t="n"/>
      <c r="J4" s="446" t="inlineStr">
        <is>
          <t>Ot$60, P$35</t>
        </is>
      </c>
      <c r="K4" s="437" t="n">
        <v>95</v>
      </c>
      <c r="L4" s="436" t="n">
        <v>400</v>
      </c>
      <c r="M4" s="437">
        <f>SUM(K4:L4)</f>
        <v/>
      </c>
      <c r="N4" s="437" t="n">
        <v>30</v>
      </c>
    </row>
    <row r="5" ht="17.25" customFormat="1" customHeight="1" s="112">
      <c r="A5" s="163" t="inlineStr">
        <is>
          <t>546095</t>
        </is>
      </c>
      <c r="B5" s="249" t="n">
        <v>0.1944444444444444</v>
      </c>
      <c r="C5" s="93" t="inlineStr">
        <is>
          <t>3V401 &gt; Cordis</t>
        </is>
      </c>
      <c r="D5" s="432" t="inlineStr">
        <is>
          <t>Jacky CT8022 6998 6953</t>
        </is>
      </c>
      <c r="E5" s="93" t="inlineStr">
        <is>
          <t>Done</t>
        </is>
      </c>
      <c r="F5" s="113" t="n">
        <v>0.2298611111111111</v>
      </c>
      <c r="G5" s="113" t="n">
        <v>0.2472222222222222</v>
      </c>
      <c r="H5" s="93" t="n"/>
      <c r="I5" s="433" t="n"/>
      <c r="J5" s="446" t="inlineStr">
        <is>
          <t>Ot$60</t>
        </is>
      </c>
      <c r="K5" s="437" t="n">
        <v>60</v>
      </c>
      <c r="L5" s="436" t="n">
        <v>400</v>
      </c>
      <c r="M5" s="437">
        <f>SUM(K5:L5)</f>
        <v/>
      </c>
      <c r="N5" s="437" t="n">
        <v>30</v>
      </c>
    </row>
    <row r="6" ht="17.25" customFormat="1" customHeight="1" s="112">
      <c r="A6" s="91" t="inlineStr">
        <is>
          <t>545860</t>
        </is>
      </c>
      <c r="B6" s="48" t="n">
        <v>0.2708333333333333</v>
      </c>
      <c r="C6" s="93" t="inlineStr">
        <is>
          <t>TST &gt; AP</t>
        </is>
      </c>
      <c r="D6" s="432" t="inlineStr">
        <is>
          <t>Keith CK9898 9888 0261</t>
        </is>
      </c>
      <c r="E6" s="39" t="inlineStr">
        <is>
          <t>Done</t>
        </is>
      </c>
      <c r="F6" s="113" t="n">
        <v>0.3020833333333333</v>
      </c>
      <c r="G6" s="113" t="n">
        <v>0.3229166666666667</v>
      </c>
      <c r="H6" s="449" t="n"/>
      <c r="I6" s="438" t="n"/>
      <c r="J6" s="434" t="inlineStr">
        <is>
          <t>Ot$60, wait 0.5 hour$90</t>
        </is>
      </c>
      <c r="K6" s="437" t="n">
        <v>150</v>
      </c>
      <c r="L6" s="436" t="n">
        <v>400</v>
      </c>
      <c r="M6" s="437">
        <f>SUM(K6:L6)</f>
        <v/>
      </c>
      <c r="N6" s="437" t="n">
        <v>30</v>
      </c>
    </row>
    <row r="7" ht="17.25" customFormat="1" customHeight="1" s="112">
      <c r="A7" s="91" t="inlineStr">
        <is>
          <t>545863</t>
        </is>
      </c>
      <c r="B7" s="48" t="n">
        <v>0.3125</v>
      </c>
      <c r="C7" s="39" t="inlineStr">
        <is>
          <t>MB300 &gt; TST</t>
        </is>
      </c>
      <c r="D7" s="440" t="inlineStr">
        <is>
          <t>Keith CK9898 9888 0261</t>
        </is>
      </c>
      <c r="E7" s="39" t="inlineStr">
        <is>
          <t>Done</t>
        </is>
      </c>
      <c r="F7" s="40" t="n">
        <v>0.3472222222222222</v>
      </c>
      <c r="G7" s="40" t="n">
        <v>0.375</v>
      </c>
      <c r="H7" s="39" t="n"/>
      <c r="I7" s="438" t="n"/>
      <c r="J7" s="441" t="inlineStr">
        <is>
          <t>P$35</t>
        </is>
      </c>
      <c r="K7" s="437" t="n">
        <v>35</v>
      </c>
      <c r="L7" s="436" t="n">
        <v>400</v>
      </c>
      <c r="M7" s="437">
        <f>SUM(K7:L7)</f>
        <v/>
      </c>
      <c r="N7" s="437" t="n">
        <v>30</v>
      </c>
    </row>
    <row r="8" ht="17.25" customFormat="1" customHeight="1" s="112">
      <c r="A8" s="91" t="inlineStr">
        <is>
          <t>545863</t>
        </is>
      </c>
      <c r="B8" s="48" t="n">
        <v>0.3125</v>
      </c>
      <c r="C8" s="39" t="inlineStr">
        <is>
          <t>MB300 &gt; TST</t>
        </is>
      </c>
      <c r="D8" s="440" t="inlineStr">
        <is>
          <t>Cheuk KC6089 9669 5358</t>
        </is>
      </c>
      <c r="E8" s="39" t="inlineStr">
        <is>
          <t>Done</t>
        </is>
      </c>
      <c r="F8" s="40" t="n">
        <v>0.3472222222222222</v>
      </c>
      <c r="G8" s="40" t="n">
        <v>0.375</v>
      </c>
      <c r="H8" s="39" t="n"/>
      <c r="I8" s="438" t="n"/>
      <c r="J8" s="441" t="inlineStr">
        <is>
          <t>P$35</t>
        </is>
      </c>
      <c r="K8" s="437" t="n">
        <v>35</v>
      </c>
      <c r="L8" s="436" t="n">
        <v>400</v>
      </c>
      <c r="M8" s="437">
        <f>SUM(K8:L8)</f>
        <v/>
      </c>
      <c r="N8" s="437" t="n">
        <v>30</v>
      </c>
    </row>
    <row r="9" ht="17.25" customHeight="1">
      <c r="A9" s="167" t="n">
        <v>531360</v>
      </c>
      <c r="B9" s="312" t="n">
        <v>0.3194444444444444</v>
      </c>
      <c r="C9" s="165" t="inlineStr">
        <is>
          <t>CX252 &gt; 千禧新世紀</t>
        </is>
      </c>
      <c r="D9" s="167" t="inlineStr">
        <is>
          <t>Jacky CT8022 6998 6953</t>
        </is>
      </c>
      <c r="E9" s="165" t="inlineStr">
        <is>
          <t>Done</t>
        </is>
      </c>
      <c r="F9" s="166" t="n">
        <v>0.375</v>
      </c>
      <c r="G9" s="166" t="n">
        <v>0.3993055555555556</v>
      </c>
      <c r="H9" s="165" t="n"/>
      <c r="I9" s="446" t="n"/>
      <c r="J9" s="507" t="n"/>
      <c r="K9" s="488" t="n"/>
      <c r="L9" s="488" t="n">
        <v>400</v>
      </c>
      <c r="M9" s="448">
        <f>SUM(K9:L9)</f>
        <v/>
      </c>
      <c r="N9" s="437" t="n">
        <v>30</v>
      </c>
    </row>
    <row r="10" ht="17.25" customHeight="1">
      <c r="A10" s="167" t="n">
        <v>531360</v>
      </c>
      <c r="B10" s="312" t="n">
        <v>0.3194444444444444</v>
      </c>
      <c r="C10" s="165" t="inlineStr">
        <is>
          <t>CX252 &gt; 千禧新世紀</t>
        </is>
      </c>
      <c r="D10" s="167" t="inlineStr">
        <is>
          <t>Frankie FN655 6676 8669</t>
        </is>
      </c>
      <c r="E10" s="165" t="inlineStr">
        <is>
          <t>Done</t>
        </is>
      </c>
      <c r="F10" s="166" t="n">
        <v>0.375</v>
      </c>
      <c r="G10" s="166" t="n">
        <v>0.3993055555555556</v>
      </c>
      <c r="H10" s="165" t="n"/>
      <c r="I10" s="446" t="n"/>
      <c r="J10" s="507" t="inlineStr">
        <is>
          <t>P$35</t>
        </is>
      </c>
      <c r="K10" s="488" t="n">
        <v>35</v>
      </c>
      <c r="L10" s="488" t="n">
        <v>400</v>
      </c>
      <c r="M10" s="448">
        <f>SUM(K10:L10)</f>
        <v/>
      </c>
      <c r="N10" s="437" t="n">
        <v>30</v>
      </c>
    </row>
    <row r="11" ht="17.25" customHeight="1">
      <c r="A11" s="167" t="n">
        <v>531360</v>
      </c>
      <c r="B11" s="312" t="n">
        <v>0.3194444444444444</v>
      </c>
      <c r="C11" s="165" t="inlineStr">
        <is>
          <t>CX252 &gt; 千禧新世紀</t>
        </is>
      </c>
      <c r="D11" s="167" t="inlineStr">
        <is>
          <t>Joanne TG1211 6526 8463</t>
        </is>
      </c>
      <c r="E11" s="165" t="inlineStr">
        <is>
          <t>Done</t>
        </is>
      </c>
      <c r="F11" s="166" t="n">
        <v>0.375</v>
      </c>
      <c r="G11" s="166" t="n">
        <v>0.3993055555555556</v>
      </c>
      <c r="H11" s="165" t="n"/>
      <c r="I11" s="446" t="n"/>
      <c r="J11" s="507" t="inlineStr">
        <is>
          <t>P$35</t>
        </is>
      </c>
      <c r="K11" s="488" t="n">
        <v>35</v>
      </c>
      <c r="L11" s="488" t="n">
        <v>400</v>
      </c>
      <c r="M11" s="448">
        <f>SUM(K11:L11)</f>
        <v/>
      </c>
      <c r="N11" s="437" t="n">
        <v>30</v>
      </c>
    </row>
    <row r="12" ht="17.25" customHeight="1">
      <c r="A12" s="261" t="inlineStr">
        <is>
          <t>545864</t>
        </is>
      </c>
      <c r="B12" s="159" t="inlineStr">
        <is>
          <t>8:00</t>
        </is>
      </c>
      <c r="C12" s="262" t="inlineStr">
        <is>
          <t>TST &gt; AP</t>
        </is>
      </c>
      <c r="D12" s="440" t="inlineStr">
        <is>
          <t>Frina WH9918 92945763</t>
        </is>
      </c>
      <c r="E12" s="53" t="inlineStr">
        <is>
          <t>Done</t>
        </is>
      </c>
      <c r="F12" s="54" t="n">
        <v>0.3680555555555556</v>
      </c>
      <c r="G12" s="54" t="n">
        <v>0.3888888888888889</v>
      </c>
      <c r="H12" s="53" t="n"/>
      <c r="I12" s="453" t="n"/>
      <c r="J12" s="441" t="inlineStr">
        <is>
          <t>Wait 0.5 hour$90</t>
        </is>
      </c>
      <c r="K12" s="451" t="n">
        <v>90</v>
      </c>
      <c r="L12" s="478" t="n">
        <v>400</v>
      </c>
      <c r="M12" s="448">
        <f>SUM(K12:L12)</f>
        <v/>
      </c>
      <c r="N12" s="437" t="n">
        <v>30</v>
      </c>
    </row>
    <row r="13" ht="17.25" customHeight="1">
      <c r="A13" s="261" t="inlineStr">
        <is>
          <t>544614</t>
        </is>
      </c>
      <c r="B13" s="159" t="inlineStr">
        <is>
          <t>14:50</t>
        </is>
      </c>
      <c r="C13" s="262" t="inlineStr">
        <is>
          <t>BA31 &gt; 千禧新世紀</t>
        </is>
      </c>
      <c r="D13" s="440" t="inlineStr">
        <is>
          <t>Keith CK9898 9888 0261</t>
        </is>
      </c>
      <c r="E13" s="53" t="inlineStr">
        <is>
          <t>Done</t>
        </is>
      </c>
      <c r="F13" s="54" t="n">
        <v>0.675</v>
      </c>
      <c r="G13" s="54" t="n">
        <v>0.7</v>
      </c>
      <c r="H13" s="53" t="n"/>
      <c r="I13" s="453" t="n"/>
      <c r="J13" s="441" t="inlineStr">
        <is>
          <t>P$32</t>
        </is>
      </c>
      <c r="K13" s="451" t="n">
        <v>32</v>
      </c>
      <c r="L13" s="478" t="n">
        <v>400</v>
      </c>
      <c r="M13" s="448">
        <f>SUM(K13:L13)</f>
        <v/>
      </c>
      <c r="N13" s="437" t="n">
        <v>30</v>
      </c>
    </row>
    <row r="14" ht="17.25" customHeight="1">
      <c r="A14" s="45" t="inlineStr">
        <is>
          <t>544403</t>
        </is>
      </c>
      <c r="B14" s="46" t="n">
        <v>0.6180555555555556</v>
      </c>
      <c r="C14" s="262" t="inlineStr">
        <is>
          <t>BA31 &gt; 千禧新世紀</t>
        </is>
      </c>
      <c r="D14" s="454" t="inlineStr">
        <is>
          <t>Hilson TG1211 62179777</t>
        </is>
      </c>
      <c r="E14" s="39" t="inlineStr">
        <is>
          <t>Done</t>
        </is>
      </c>
      <c r="F14" s="40" t="n">
        <v>0.6909722222222222</v>
      </c>
      <c r="G14" s="40" t="n">
        <v>0.7152777777777778</v>
      </c>
      <c r="H14" s="39" t="n"/>
      <c r="I14" s="438" t="n"/>
      <c r="J14" s="441" t="inlineStr">
        <is>
          <t>P$35</t>
        </is>
      </c>
      <c r="K14" s="437" t="n">
        <v>35</v>
      </c>
      <c r="L14" s="436" t="n">
        <v>400</v>
      </c>
      <c r="M14" s="448">
        <f>SUM(K14:L14)</f>
        <v/>
      </c>
      <c r="N14" s="437" t="n">
        <v>30</v>
      </c>
    </row>
    <row r="15" ht="17.25" customHeight="1">
      <c r="A15" s="45" t="inlineStr">
        <is>
          <t>544403</t>
        </is>
      </c>
      <c r="B15" s="46" t="n">
        <v>0.6180555555555556</v>
      </c>
      <c r="C15" s="262" t="inlineStr">
        <is>
          <t>BA31 &gt; 千禧新世紀</t>
        </is>
      </c>
      <c r="D15" s="454" t="inlineStr">
        <is>
          <t>王師傅 WW8421 6641 3258</t>
        </is>
      </c>
      <c r="E15" s="39" t="inlineStr">
        <is>
          <t>Done</t>
        </is>
      </c>
      <c r="F15" s="40" t="n">
        <v>0.6909722222222222</v>
      </c>
      <c r="G15" s="40" t="n">
        <v>0.7152777777777778</v>
      </c>
      <c r="H15" s="39" t="n"/>
      <c r="I15" s="438" t="n"/>
      <c r="J15" s="441" t="inlineStr">
        <is>
          <t>P$35</t>
        </is>
      </c>
      <c r="K15" s="437" t="n">
        <v>35</v>
      </c>
      <c r="L15" s="436" t="n">
        <v>400</v>
      </c>
      <c r="M15" s="448">
        <f>SUM(K15:L15)</f>
        <v/>
      </c>
      <c r="N15" s="437" t="n">
        <v>30</v>
      </c>
    </row>
    <row r="16" ht="17.25" customHeight="1">
      <c r="A16" s="45" t="inlineStr">
        <is>
          <t>544403</t>
        </is>
      </c>
      <c r="B16" s="46" t="n">
        <v>0.6180555555555556</v>
      </c>
      <c r="C16" s="262" t="inlineStr">
        <is>
          <t>BA31 &gt; 千禧新世紀</t>
        </is>
      </c>
      <c r="D16" s="454" t="inlineStr">
        <is>
          <t>Ben WH9918 5228 6200</t>
        </is>
      </c>
      <c r="E16" s="39" t="inlineStr">
        <is>
          <t>Done</t>
        </is>
      </c>
      <c r="F16" s="40" t="n">
        <v>0.6909722222222222</v>
      </c>
      <c r="G16" s="40" t="n">
        <v>0.7152777777777778</v>
      </c>
      <c r="H16" s="39" t="n"/>
      <c r="I16" s="438" t="n"/>
      <c r="J16" s="441" t="inlineStr">
        <is>
          <t>P$35</t>
        </is>
      </c>
      <c r="K16" s="437" t="n">
        <v>35</v>
      </c>
      <c r="L16" s="436" t="n">
        <v>400</v>
      </c>
      <c r="M16" s="448">
        <f>SUM(K16:L16)</f>
        <v/>
      </c>
      <c r="N16" s="437" t="n">
        <v>30</v>
      </c>
    </row>
    <row r="17" ht="17.25" customHeight="1">
      <c r="A17" s="1" t="inlineStr">
        <is>
          <t>545867</t>
        </is>
      </c>
      <c r="B17" s="8" t="n">
        <v>0.3645833333333333</v>
      </c>
      <c r="C17" s="53" t="inlineStr">
        <is>
          <t>天際萬豪 onhire</t>
        </is>
      </c>
      <c r="D17" s="425" t="inlineStr">
        <is>
          <t>Abble RN377 95514488</t>
        </is>
      </c>
      <c r="E17" s="53" t="inlineStr">
        <is>
          <t>Done</t>
        </is>
      </c>
      <c r="F17" s="61" t="n">
        <v>0.3645833333333333</v>
      </c>
      <c r="G17" s="61" t="n">
        <v>0.7541666666666667</v>
      </c>
      <c r="H17" s="53" t="n"/>
      <c r="I17" s="453" t="n"/>
      <c r="J17" s="455" t="inlineStr">
        <is>
          <t>Ap$400, 隧道$120</t>
        </is>
      </c>
      <c r="K17" s="451" t="n">
        <v>520</v>
      </c>
      <c r="L17" s="451" t="n">
        <v>2185</v>
      </c>
      <c r="M17" s="448">
        <f>SUM(K17:L17)</f>
        <v/>
      </c>
      <c r="N17" s="437" t="n">
        <v>30</v>
      </c>
      <c r="P17" t="inlineStr">
        <is>
          <t>天際萬豪-中環中心-金鐘-IFC-山頂-機場</t>
        </is>
      </c>
    </row>
    <row r="18" ht="17.25" customHeight="1">
      <c r="A18" s="51" t="inlineStr">
        <is>
          <t>531361</t>
        </is>
      </c>
      <c r="B18" s="62" t="n">
        <v>0.6840277777777778</v>
      </c>
      <c r="C18" s="53" t="inlineStr">
        <is>
          <t>LH796 &gt; 千禧新世紀</t>
        </is>
      </c>
      <c r="D18" s="425" t="inlineStr">
        <is>
          <t>Frankie FN655 6676 8669</t>
        </is>
      </c>
      <c r="E18" s="53" t="inlineStr">
        <is>
          <t>Done</t>
        </is>
      </c>
      <c r="F18" s="61" t="n">
        <v>0.7430555555555556</v>
      </c>
      <c r="G18" s="61" t="n">
        <v>0.7777777777777778</v>
      </c>
      <c r="H18" s="53" t="n"/>
      <c r="I18" s="453" t="n"/>
      <c r="J18" s="455" t="n"/>
      <c r="K18" s="451" t="n"/>
      <c r="L18" s="451" t="n">
        <v>400</v>
      </c>
      <c r="M18" s="448">
        <f>SUM(K18:L18)</f>
        <v/>
      </c>
      <c r="N18" s="437" t="n">
        <v>30</v>
      </c>
    </row>
    <row r="19" ht="17.25" customHeight="1">
      <c r="A19" s="51" t="inlineStr">
        <is>
          <t>531361</t>
        </is>
      </c>
      <c r="B19" s="62" t="n">
        <v>0.6840277777777778</v>
      </c>
      <c r="C19" s="53" t="inlineStr">
        <is>
          <t>LH796 &gt; 千禧新世紀</t>
        </is>
      </c>
      <c r="D19" s="425" t="inlineStr">
        <is>
          <t>Frina PS3488 92945763</t>
        </is>
      </c>
      <c r="E19" s="53" t="inlineStr">
        <is>
          <t>Done</t>
        </is>
      </c>
      <c r="F19" s="61" t="n">
        <v>0.7430555555555556</v>
      </c>
      <c r="G19" s="61" t="n">
        <v>0.7777777777777778</v>
      </c>
      <c r="H19" s="53" t="n"/>
      <c r="I19" s="453" t="n"/>
      <c r="J19" s="455" t="inlineStr">
        <is>
          <t>P$32</t>
        </is>
      </c>
      <c r="K19" s="451" t="n">
        <v>32</v>
      </c>
      <c r="L19" s="451" t="n">
        <v>400</v>
      </c>
      <c r="M19" s="448">
        <f>SUM(K19:L19)</f>
        <v/>
      </c>
      <c r="N19" s="437" t="n">
        <v>30</v>
      </c>
    </row>
    <row r="20" ht="17.25" customHeight="1">
      <c r="A20" s="51" t="inlineStr">
        <is>
          <t>545007</t>
        </is>
      </c>
      <c r="B20" s="62" t="n">
        <v>0.4375</v>
      </c>
      <c r="C20" s="53" t="inlineStr">
        <is>
          <t>Langham on hire</t>
        </is>
      </c>
      <c r="D20" s="425" t="inlineStr">
        <is>
          <t>Jacky CT8022 6998 6953</t>
        </is>
      </c>
      <c r="E20" s="53" t="inlineStr">
        <is>
          <t>Done</t>
        </is>
      </c>
      <c r="F20" s="61" t="n">
        <v>0.4375</v>
      </c>
      <c r="G20" s="61" t="n">
        <v>0.8472222222222222</v>
      </c>
      <c r="H20" s="53" t="n"/>
      <c r="I20" s="453" t="n"/>
      <c r="J20" s="455" t="inlineStr">
        <is>
          <t>10 hour on hire</t>
        </is>
      </c>
      <c r="K20" s="451" t="n"/>
      <c r="L20" s="451" t="n">
        <v>2300</v>
      </c>
      <c r="M20" s="448">
        <f>SUM(K20:L20)</f>
        <v/>
      </c>
      <c r="N20" s="437" t="n">
        <v>30</v>
      </c>
      <c r="P20" t="inlineStr">
        <is>
          <t>朗廷-廟-朗廷-西貢-朗廷</t>
        </is>
      </c>
    </row>
    <row r="21" ht="17.25" customHeight="1">
      <c r="A21" s="51" t="n"/>
      <c r="B21" s="62" t="n"/>
      <c r="C21" s="53" t="n"/>
      <c r="D21" s="425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48">
        <f>SUM(K21:L21)</f>
        <v/>
      </c>
      <c r="N21" s="437" t="n"/>
    </row>
    <row r="22" ht="17.25" customHeight="1">
      <c r="A22" s="51" t="n"/>
      <c r="B22" s="62" t="n"/>
      <c r="C22" s="53" t="n"/>
      <c r="D22" s="456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48">
        <f>SUM(K22:L22)</f>
        <v/>
      </c>
      <c r="N22" s="437" t="n"/>
    </row>
    <row r="23" ht="17.25" customHeight="1">
      <c r="A23" s="51" t="n"/>
      <c r="B23" s="62" t="n"/>
      <c r="C23" s="53" t="n"/>
      <c r="D23" s="53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48">
        <f>SUM(K23:L23)</f>
        <v/>
      </c>
      <c r="N23" s="437" t="n"/>
    </row>
    <row r="24">
      <c r="A24" s="51" t="n"/>
      <c r="B24" s="62" t="n"/>
      <c r="C24" s="53" t="n"/>
      <c r="D24" s="425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48">
        <f>SUM(K24:L24)</f>
        <v/>
      </c>
      <c r="N24" s="437" t="n"/>
    </row>
    <row r="25">
      <c r="A25" s="51" t="n"/>
      <c r="B25" s="62" t="n"/>
      <c r="C25" s="53" t="n"/>
      <c r="D25" s="476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48">
        <f>SUM(K25:L25)</f>
        <v/>
      </c>
      <c r="N25" s="437" t="n"/>
    </row>
    <row r="26">
      <c r="A26" s="51" t="n"/>
      <c r="B26" s="62" t="n"/>
      <c r="C26" s="53" t="n"/>
      <c r="D26" s="425" t="n"/>
      <c r="E26" s="53" t="n"/>
      <c r="F26" s="61" t="n"/>
      <c r="G26" s="61" t="n"/>
      <c r="H26" s="53" t="n"/>
      <c r="I26" s="453" t="n"/>
      <c r="J26" s="455" t="n"/>
      <c r="K26" s="451" t="n"/>
      <c r="L26" s="451" t="n"/>
      <c r="M26" s="448">
        <f>SUM(K26:L26)</f>
        <v/>
      </c>
      <c r="N26" s="437" t="n"/>
    </row>
    <row r="27">
      <c r="A27" s="51" t="n"/>
      <c r="B27" s="62" t="n"/>
      <c r="C27" s="53" t="n"/>
      <c r="D27" s="147" t="n"/>
      <c r="E27" s="53" t="n"/>
      <c r="F27" s="61" t="n"/>
      <c r="G27" s="61" t="n"/>
      <c r="H27" s="53" t="n"/>
      <c r="I27" s="453" t="n"/>
      <c r="J27" s="455" t="n"/>
      <c r="K27" s="451" t="n"/>
      <c r="L27" s="451" t="n"/>
      <c r="M27" s="448">
        <f>SUM(K27:L27)</f>
        <v/>
      </c>
      <c r="N27" s="437" t="n"/>
    </row>
    <row r="28">
      <c r="A28" s="51" t="n"/>
      <c r="B28" s="62" t="n"/>
      <c r="C28" s="53" t="n"/>
      <c r="D28" s="425" t="n"/>
      <c r="E28" s="53" t="n"/>
      <c r="F28" s="61" t="n"/>
      <c r="G28" s="61" t="n"/>
      <c r="H28" s="53" t="n"/>
      <c r="I28" s="453" t="n"/>
      <c r="J28" s="455" t="n"/>
      <c r="K28" s="451" t="n"/>
      <c r="L28" s="451" t="n"/>
      <c r="M28" s="448">
        <f>SUM(K28:L28)</f>
        <v/>
      </c>
      <c r="N28" s="437" t="n"/>
    </row>
    <row r="29">
      <c r="A29" s="51" t="n"/>
      <c r="B29" s="62" t="n"/>
      <c r="C29" s="53" t="n"/>
      <c r="D29" s="425" t="n"/>
      <c r="E29" s="53" t="n"/>
      <c r="F29" s="61" t="n"/>
      <c r="G29" s="61" t="n"/>
      <c r="H29" s="53" t="n"/>
      <c r="I29" s="453" t="n"/>
      <c r="J29" s="455" t="n"/>
      <c r="K29" s="451" t="n"/>
      <c r="L29" s="451" t="n"/>
      <c r="M29" s="448">
        <f>SUM(K29:L29)</f>
        <v/>
      </c>
      <c r="N29" s="437" t="n"/>
    </row>
    <row r="30">
      <c r="A30" s="51" t="n"/>
      <c r="B30" s="62" t="n"/>
      <c r="C30" s="53" t="n"/>
      <c r="D30" s="456" t="n"/>
      <c r="E30" s="10" t="n"/>
      <c r="F30" s="61" t="n"/>
      <c r="G30" s="61" t="n"/>
      <c r="H30" s="10" t="n"/>
      <c r="I30" s="461" t="n"/>
      <c r="J30" s="458" t="n"/>
      <c r="K30" s="459" t="n"/>
      <c r="L30" s="459" t="n"/>
      <c r="M30" s="448">
        <f>SUM(K30:L30)</f>
        <v/>
      </c>
      <c r="N30" s="437" t="n"/>
    </row>
    <row r="31">
      <c r="A31" s="14" t="n"/>
      <c r="B31" s="15" t="n"/>
      <c r="C31" s="10" t="n"/>
      <c r="D31" s="425" t="n"/>
      <c r="E31" s="10" t="n"/>
      <c r="F31" s="61" t="n"/>
      <c r="G31" s="61" t="n"/>
      <c r="H31" s="10" t="n"/>
      <c r="I31" s="461" t="n"/>
      <c r="J31" s="458" t="n"/>
      <c r="K31" s="459" t="n"/>
      <c r="L31" s="459" t="n"/>
      <c r="M31" s="448">
        <f>SUM(K31:L31)</f>
        <v/>
      </c>
      <c r="N31" s="437" t="n"/>
    </row>
    <row r="32">
      <c r="A32" s="14" t="n"/>
      <c r="B32" s="15" t="n"/>
      <c r="C32" s="10" t="n"/>
      <c r="D32" s="460" t="n"/>
      <c r="E32" s="10" t="n"/>
      <c r="F32" s="61" t="n"/>
      <c r="G32" s="61" t="n"/>
      <c r="H32" s="10" t="n"/>
      <c r="I32" s="461" t="n"/>
      <c r="J32" s="458" t="n"/>
      <c r="K32" s="459" t="n"/>
      <c r="L32" s="459" t="n"/>
      <c r="M32" s="448">
        <f>SUM(K32:L32)</f>
        <v/>
      </c>
      <c r="N32" s="437" t="n"/>
    </row>
    <row r="33">
      <c r="A33" s="14" t="n"/>
      <c r="B33" s="15" t="n"/>
      <c r="C33" s="10" t="n"/>
      <c r="D33" s="460" t="n"/>
      <c r="E33" s="10" t="n"/>
      <c r="F33" s="61" t="n"/>
      <c r="G33" s="61" t="n"/>
      <c r="H33" s="10" t="n"/>
      <c r="I33" s="461" t="n"/>
      <c r="J33" s="458" t="n"/>
      <c r="K33" s="459" t="n"/>
      <c r="L33" s="459" t="n"/>
      <c r="M33" s="448">
        <f>SUM(K33:L33)</f>
        <v/>
      </c>
      <c r="N33" s="437" t="n"/>
    </row>
    <row r="34">
      <c r="A34" s="14" t="n"/>
      <c r="B34" s="15" t="n"/>
      <c r="C34" s="10" t="n"/>
      <c r="D34" s="425" t="n"/>
      <c r="E34" s="10" t="n"/>
      <c r="F34" s="61" t="n"/>
      <c r="G34" s="61" t="n"/>
      <c r="H34" s="10" t="n"/>
      <c r="I34" s="461" t="n"/>
      <c r="J34" s="458" t="n"/>
      <c r="K34" s="459" t="n"/>
      <c r="L34" s="459" t="n"/>
      <c r="M34" s="448">
        <f>SUM(K34:L34)</f>
        <v/>
      </c>
      <c r="N34" s="437" t="n"/>
    </row>
    <row r="35">
      <c r="A35" s="17" t="n"/>
      <c r="B35" s="18" t="n"/>
      <c r="C35" s="10" t="n"/>
      <c r="D35" s="452" t="n"/>
      <c r="E35" s="10" t="n"/>
      <c r="F35" s="61" t="n"/>
      <c r="G35" s="61" t="n"/>
      <c r="H35" s="10" t="n"/>
      <c r="I35" s="461" t="n"/>
      <c r="J35" s="458" t="n"/>
      <c r="K35" s="459" t="n"/>
      <c r="L35" s="459" t="n"/>
      <c r="M35" s="448">
        <f>SUM(K35:L35)</f>
        <v/>
      </c>
      <c r="N35" s="437" t="n"/>
    </row>
    <row r="36">
      <c r="A36" s="17" t="n"/>
      <c r="B36" s="18" t="n"/>
      <c r="C36" s="10" t="n"/>
      <c r="D36" s="452" t="n"/>
      <c r="E36" s="10" t="n"/>
      <c r="F36" s="61" t="n"/>
      <c r="G36" s="61" t="n"/>
      <c r="H36" s="10" t="n"/>
      <c r="I36" s="461" t="n"/>
      <c r="J36" s="458" t="n"/>
      <c r="K36" s="459" t="n"/>
      <c r="L36" s="459" t="n"/>
      <c r="M36" s="448">
        <f>SUM(K36:L36)</f>
        <v/>
      </c>
      <c r="N36" s="437" t="n"/>
    </row>
    <row r="37">
      <c r="A37" s="20" t="n"/>
      <c r="B37" s="21" t="n"/>
      <c r="C37" s="22" t="n"/>
      <c r="D37" s="21" t="n"/>
      <c r="E37" s="21" t="n"/>
      <c r="F37" s="21" t="n"/>
      <c r="G37" s="21" t="n"/>
      <c r="H37" s="21" t="n"/>
      <c r="I37" s="465" t="n"/>
      <c r="J37" s="469" t="n"/>
      <c r="K37" s="470" t="n"/>
      <c r="L37" s="470" t="n"/>
      <c r="M37" s="470" t="n"/>
      <c r="N37" s="437" t="n"/>
    </row>
    <row r="38">
      <c r="A38" s="20" t="n"/>
      <c r="B38" s="21" t="n"/>
      <c r="C38" s="22" t="n"/>
      <c r="D38" s="21" t="n"/>
      <c r="E38" s="21" t="n"/>
      <c r="F38" s="21" t="n"/>
      <c r="G38" s="21" t="n"/>
      <c r="H38" s="21" t="n"/>
      <c r="J38" s="469" t="n"/>
      <c r="K38" s="470" t="n"/>
      <c r="L38" s="470" t="n"/>
      <c r="N38" s="437" t="n"/>
    </row>
    <row r="39">
      <c r="A39" s="20" t="n"/>
      <c r="B39" s="21" t="n"/>
      <c r="C39" s="22" t="n"/>
      <c r="D39" s="21" t="n"/>
      <c r="E39" s="21" t="n"/>
      <c r="F39" s="21" t="n"/>
      <c r="G39" s="21" t="n"/>
      <c r="H39" s="21" t="n"/>
      <c r="J39" s="469" t="n"/>
      <c r="K39" s="470" t="n"/>
      <c r="L39" s="470" t="n"/>
      <c r="M39" s="473" t="n"/>
      <c r="N39" s="437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9" t="n"/>
      <c r="K40" s="470" t="n"/>
      <c r="L40" s="470" t="n"/>
      <c r="M40" s="472">
        <f>SUM(M2:M39)</f>
        <v/>
      </c>
      <c r="N40" s="472">
        <f>SUM(N2:N39)</f>
        <v/>
      </c>
    </row>
    <row r="41">
      <c r="C41" s="30" t="n"/>
    </row>
    <row r="42">
      <c r="C42" s="3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32"/>
  <sheetViews>
    <sheetView topLeftCell="C1" zoomScale="69" zoomScaleNormal="69" workbookViewId="0">
      <selection activeCell="D3" sqref="D3"/>
    </sheetView>
  </sheetViews>
  <sheetFormatPr baseColWidth="8" defaultColWidth="8.75" defaultRowHeight="15"/>
  <cols>
    <col width="11.5" customWidth="1" style="29" min="1" max="1"/>
    <col width="10.875" customWidth="1" min="2" max="2"/>
    <col width="56" customWidth="1" min="3" max="3"/>
    <col width="27.125" customWidth="1" min="4" max="4"/>
    <col width="9" bestFit="1" customWidth="1" min="5" max="7"/>
    <col width="11.5" bestFit="1" customWidth="1" min="8" max="8"/>
    <col width="9.5" customWidth="1" min="9" max="9"/>
    <col width="31.875" customWidth="1" style="423" min="10" max="10"/>
    <col width="9" bestFit="1" customWidth="1" style="424" min="11" max="12"/>
    <col width="15.125" customWidth="1" style="424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5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Format="1" customHeight="1" s="71">
      <c r="A2" s="91" t="inlineStr">
        <is>
          <t>546112</t>
        </is>
      </c>
      <c r="B2" s="91" t="inlineStr">
        <is>
          <t>4:00</t>
        </is>
      </c>
      <c r="C2" s="39" t="inlineStr">
        <is>
          <t>TST &gt; AP</t>
        </is>
      </c>
      <c r="D2" s="440" t="inlineStr">
        <is>
          <t>Eva TZ9800 9706 2468</t>
        </is>
      </c>
      <c r="E2" s="103" t="inlineStr">
        <is>
          <t>Done</t>
        </is>
      </c>
      <c r="F2" s="40" t="n">
        <v>0.1548611111111111</v>
      </c>
      <c r="G2" s="40" t="n">
        <v>0.1770833333333333</v>
      </c>
      <c r="H2" s="449" t="n"/>
      <c r="I2" s="438" t="n"/>
      <c r="J2" s="441" t="inlineStr">
        <is>
          <t>OT$60</t>
        </is>
      </c>
      <c r="K2" s="437" t="n">
        <v>60</v>
      </c>
      <c r="L2" s="436" t="n">
        <v>400</v>
      </c>
      <c r="M2" s="437">
        <f>SUM(K2:L2)</f>
        <v/>
      </c>
      <c r="N2" s="437" t="n">
        <v>30</v>
      </c>
      <c r="O2" s="152" t="n"/>
      <c r="P2" s="152" t="n"/>
      <c r="Q2" s="152" t="n"/>
    </row>
    <row r="3" ht="17.25" customHeight="1">
      <c r="A3" s="323" t="inlineStr">
        <is>
          <t>546114</t>
        </is>
      </c>
      <c r="B3" s="324" t="n">
        <v>0.1875</v>
      </c>
      <c r="C3" s="325" t="inlineStr">
        <is>
          <t>MB479 &gt; TST</t>
        </is>
      </c>
      <c r="D3" s="425" t="inlineStr">
        <is>
          <t>Stanley LJ9800 9828 6100</t>
        </is>
      </c>
      <c r="E3" s="165" t="inlineStr">
        <is>
          <t>Done</t>
        </is>
      </c>
      <c r="F3" s="166" t="n">
        <v>0.2291666666666667</v>
      </c>
      <c r="G3" s="166" t="n">
        <v>0.2493055555555556</v>
      </c>
      <c r="H3" s="165" t="n"/>
      <c r="I3" s="446" t="n"/>
      <c r="J3" s="512" t="inlineStr">
        <is>
          <t>OT$60, P$35</t>
        </is>
      </c>
      <c r="K3" s="490" t="n">
        <v>95</v>
      </c>
      <c r="L3" s="490" t="n">
        <v>400</v>
      </c>
      <c r="M3" s="448">
        <f>SUM(K3:L3)</f>
        <v/>
      </c>
      <c r="N3" s="437" t="n">
        <v>30</v>
      </c>
    </row>
    <row r="4" ht="17.25" customHeight="1">
      <c r="A4" s="323" t="inlineStr">
        <is>
          <t>546114</t>
        </is>
      </c>
      <c r="B4" s="324" t="n">
        <v>0.1875</v>
      </c>
      <c r="C4" s="325" t="inlineStr">
        <is>
          <t>MB479 &gt; TST</t>
        </is>
      </c>
      <c r="D4" s="425" t="inlineStr">
        <is>
          <t>Eva TZ9800 9706 2468</t>
        </is>
      </c>
      <c r="E4" s="165" t="inlineStr">
        <is>
          <t>Done</t>
        </is>
      </c>
      <c r="F4" s="166" t="n">
        <v>0.2291666666666667</v>
      </c>
      <c r="G4" s="166" t="n">
        <v>0.2493055555555556</v>
      </c>
      <c r="H4" s="165" t="n"/>
      <c r="I4" s="446" t="n"/>
      <c r="J4" s="512" t="inlineStr">
        <is>
          <t>OT$60, P$35</t>
        </is>
      </c>
      <c r="K4" s="490" t="n">
        <v>95</v>
      </c>
      <c r="L4" s="490" t="n">
        <v>400</v>
      </c>
      <c r="M4" s="448">
        <f>SUM(K4:L4)</f>
        <v/>
      </c>
      <c r="N4" s="437" t="n">
        <v>30</v>
      </c>
    </row>
    <row r="5" ht="17.25" customHeight="1">
      <c r="A5" s="323" t="inlineStr">
        <is>
          <t>546114</t>
        </is>
      </c>
      <c r="B5" s="324" t="n">
        <v>0.1875</v>
      </c>
      <c r="C5" s="325" t="inlineStr">
        <is>
          <t>MB479 &gt; TST</t>
        </is>
      </c>
      <c r="D5" s="425" t="inlineStr">
        <is>
          <t>Cheuk WH9918 96695358</t>
        </is>
      </c>
      <c r="E5" s="165" t="inlineStr">
        <is>
          <t>Done</t>
        </is>
      </c>
      <c r="F5" s="166" t="n">
        <v>0.2291666666666667</v>
      </c>
      <c r="G5" s="166" t="n">
        <v>0.2493055555555556</v>
      </c>
      <c r="H5" s="165" t="n"/>
      <c r="I5" s="446" t="n"/>
      <c r="J5" s="512" t="inlineStr">
        <is>
          <t>OT$60, P$35</t>
        </is>
      </c>
      <c r="K5" s="490" t="n">
        <v>95</v>
      </c>
      <c r="L5" s="490" t="n">
        <v>400</v>
      </c>
      <c r="M5" s="448">
        <f>SUM(K5:L5)</f>
        <v/>
      </c>
      <c r="N5" s="437" t="n">
        <v>30</v>
      </c>
    </row>
    <row r="6" ht="17.25" customFormat="1" customHeight="1" s="6">
      <c r="A6" s="91" t="inlineStr">
        <is>
          <t>546113</t>
        </is>
      </c>
      <c r="B6" s="91" t="inlineStr">
        <is>
          <t>5:30</t>
        </is>
      </c>
      <c r="C6" s="39" t="inlineStr">
        <is>
          <t>TST &gt; AP</t>
        </is>
      </c>
      <c r="D6" s="440" t="inlineStr">
        <is>
          <t>Patrick UV3632 93182082</t>
        </is>
      </c>
      <c r="E6" s="103" t="inlineStr">
        <is>
          <t>Done</t>
        </is>
      </c>
      <c r="F6" s="40" t="n">
        <v>0.2326388888888889</v>
      </c>
      <c r="G6" s="40" t="n">
        <v>0.2534722222222222</v>
      </c>
      <c r="H6" s="39" t="n"/>
      <c r="I6" s="438" t="n"/>
      <c r="J6" s="507" t="inlineStr">
        <is>
          <t>OT$60</t>
        </is>
      </c>
      <c r="K6" s="488" t="n">
        <v>60</v>
      </c>
      <c r="L6" s="489" t="n">
        <v>400</v>
      </c>
      <c r="M6" s="437">
        <f>SUM(K6:L6)</f>
        <v/>
      </c>
      <c r="N6" s="437" t="n">
        <v>30</v>
      </c>
    </row>
    <row r="7" ht="17.25" customFormat="1" customHeight="1" s="6">
      <c r="A7" s="91" t="inlineStr">
        <is>
          <t>546096</t>
        </is>
      </c>
      <c r="B7" s="91" t="inlineStr">
        <is>
          <t>8:45</t>
        </is>
      </c>
      <c r="C7" s="39" t="inlineStr">
        <is>
          <t>Cordis &gt; AP</t>
        </is>
      </c>
      <c r="D7" s="432" t="inlineStr">
        <is>
          <t>Keith CK9898 9888 0261</t>
        </is>
      </c>
      <c r="E7" s="103" t="inlineStr">
        <is>
          <t>Done</t>
        </is>
      </c>
      <c r="F7" s="40" t="n">
        <v>0.3666666666666666</v>
      </c>
      <c r="G7" s="40" t="n">
        <v>0.3854166666666667</v>
      </c>
      <c r="H7" s="39" t="n"/>
      <c r="I7" s="438" t="n"/>
      <c r="J7" s="507" t="n"/>
      <c r="K7" s="488" t="n"/>
      <c r="L7" s="489" t="n">
        <v>400</v>
      </c>
      <c r="M7" s="437">
        <f>SUM(K7:L7)</f>
        <v/>
      </c>
      <c r="N7" s="437" t="n">
        <v>30</v>
      </c>
    </row>
    <row r="8" ht="17.25" customFormat="1" customHeight="1" s="6">
      <c r="A8" s="91" t="inlineStr">
        <is>
          <t>546096</t>
        </is>
      </c>
      <c r="B8" s="91" t="inlineStr">
        <is>
          <t>8:45</t>
        </is>
      </c>
      <c r="C8" s="39" t="inlineStr">
        <is>
          <t>Cordis &gt; AP</t>
        </is>
      </c>
      <c r="D8" s="432" t="inlineStr">
        <is>
          <t>Addy ME771 5722 6551</t>
        </is>
      </c>
      <c r="E8" s="103" t="inlineStr">
        <is>
          <t>Done</t>
        </is>
      </c>
      <c r="F8" s="40" t="n">
        <v>0.3666666666666666</v>
      </c>
      <c r="G8" s="40" t="n">
        <v>0.3854166666666667</v>
      </c>
      <c r="H8" s="39" t="n"/>
      <c r="I8" s="438" t="n"/>
      <c r="J8" s="507" t="n"/>
      <c r="K8" s="488" t="n"/>
      <c r="L8" s="489" t="n">
        <v>400</v>
      </c>
      <c r="M8" s="437">
        <f>SUM(K8:L8)</f>
        <v/>
      </c>
      <c r="N8" s="437" t="n">
        <v>30</v>
      </c>
    </row>
    <row r="9" ht="17.25" customFormat="1" customHeight="1" s="6">
      <c r="A9" s="91" t="inlineStr">
        <is>
          <t>545946</t>
        </is>
      </c>
      <c r="B9" s="91" t="inlineStr">
        <is>
          <t>9:00</t>
        </is>
      </c>
      <c r="C9" s="91" t="inlineStr">
        <is>
          <t>Qy538 &gt; Cordis</t>
        </is>
      </c>
      <c r="D9" s="440" t="inlineStr">
        <is>
          <t>Stanley LJ9800 9828 6100</t>
        </is>
      </c>
      <c r="E9" s="103" t="inlineStr">
        <is>
          <t>Done</t>
        </is>
      </c>
      <c r="F9" s="40" t="n">
        <v>0.3923611111111111</v>
      </c>
      <c r="G9" s="40" t="n">
        <v>0.4131944444444444</v>
      </c>
      <c r="H9" s="39" t="n"/>
      <c r="I9" s="438" t="n"/>
      <c r="J9" s="441" t="inlineStr">
        <is>
          <t>P$35</t>
        </is>
      </c>
      <c r="K9" s="437" t="n">
        <v>35</v>
      </c>
      <c r="L9" s="436" t="n">
        <v>400</v>
      </c>
      <c r="M9" s="437">
        <f>SUM(K9:L9)</f>
        <v/>
      </c>
      <c r="N9" s="437" t="n">
        <v>30</v>
      </c>
    </row>
    <row r="10" ht="17.25" customHeight="1">
      <c r="A10" s="91" t="inlineStr">
        <is>
          <t>546385</t>
        </is>
      </c>
      <c r="B10" s="91" t="inlineStr">
        <is>
          <t>12:10</t>
        </is>
      </c>
      <c r="C10" s="91" t="inlineStr">
        <is>
          <t>TST &gt; AP</t>
        </is>
      </c>
      <c r="D10" s="440" t="inlineStr">
        <is>
          <t>Addy ME771 5722 6551</t>
        </is>
      </c>
      <c r="E10" s="103" t="inlineStr">
        <is>
          <t>Done</t>
        </is>
      </c>
      <c r="F10" s="40" t="n">
        <v>0.5381944444444444</v>
      </c>
      <c r="G10" s="40" t="n">
        <v>0.5590277777777778</v>
      </c>
      <c r="H10" s="39" t="n"/>
      <c r="I10" s="438" t="n"/>
      <c r="J10" s="441" t="inlineStr">
        <is>
          <t>公司收0.5 waiting$90</t>
        </is>
      </c>
      <c r="K10" s="437" t="n"/>
      <c r="L10" s="436" t="n">
        <v>400</v>
      </c>
      <c r="M10" s="437">
        <f>SUM(K10:L10)</f>
        <v/>
      </c>
      <c r="N10" s="437" t="n">
        <v>30</v>
      </c>
    </row>
    <row r="11" ht="17.25" customHeight="1">
      <c r="A11" s="91" t="inlineStr">
        <is>
          <t>546276</t>
        </is>
      </c>
      <c r="B11" s="91" t="inlineStr">
        <is>
          <t>13:00</t>
        </is>
      </c>
      <c r="C11" s="93" t="inlineStr">
        <is>
          <t>Cordis &gt; AP</t>
        </is>
      </c>
      <c r="D11" s="440" t="inlineStr">
        <is>
          <t>Stanley LJ9800 9828 6100</t>
        </is>
      </c>
      <c r="E11" s="39" t="inlineStr">
        <is>
          <t>Done</t>
        </is>
      </c>
      <c r="F11" s="40" t="n">
        <v>0.5451388888888888</v>
      </c>
      <c r="G11" s="40" t="n">
        <v>0.5659722222222222</v>
      </c>
      <c r="H11" s="39" t="n"/>
      <c r="I11" s="438" t="n"/>
      <c r="J11" s="441" t="n"/>
      <c r="K11" s="437" t="n"/>
      <c r="L11" s="436" t="n">
        <v>400</v>
      </c>
      <c r="M11" s="437">
        <f>SUM(K11:L11)</f>
        <v/>
      </c>
      <c r="N11" s="437" t="n">
        <v>30</v>
      </c>
    </row>
    <row r="12">
      <c r="A12" s="159" t="inlineStr">
        <is>
          <t>546274</t>
        </is>
      </c>
      <c r="B12" s="159" t="inlineStr">
        <is>
          <t>13:05</t>
        </is>
      </c>
      <c r="C12" s="158" t="inlineStr">
        <is>
          <t>3V401 &gt; Cordis</t>
        </is>
      </c>
      <c r="D12" s="440" t="inlineStr">
        <is>
          <t>Keith CK9898 9888 0261</t>
        </is>
      </c>
      <c r="E12" s="39" t="inlineStr">
        <is>
          <t>Done</t>
        </is>
      </c>
      <c r="F12" s="40" t="n">
        <v>0.575</v>
      </c>
      <c r="G12" s="40" t="n">
        <v>0.5993055555555555</v>
      </c>
      <c r="H12" s="39" t="n"/>
      <c r="I12" s="438" t="n"/>
      <c r="J12" s="441" t="inlineStr">
        <is>
          <t>P $35</t>
        </is>
      </c>
      <c r="K12" s="437" t="n">
        <v>35</v>
      </c>
      <c r="L12" s="436" t="n">
        <v>400</v>
      </c>
      <c r="M12" s="448">
        <f>SUM(K12:L12)</f>
        <v/>
      </c>
      <c r="N12" s="437" t="n">
        <v>30</v>
      </c>
    </row>
    <row r="13">
      <c r="A13" s="45" t="n"/>
      <c r="B13" s="46" t="n"/>
      <c r="C13" s="39" t="n"/>
      <c r="D13" s="454" t="n"/>
      <c r="E13" s="39" t="n"/>
      <c r="F13" s="40" t="n"/>
      <c r="G13" s="40" t="n"/>
      <c r="H13" s="39" t="n"/>
      <c r="I13" s="438" t="n"/>
      <c r="J13" s="441" t="n"/>
      <c r="K13" s="437" t="n"/>
      <c r="L13" s="436" t="n"/>
      <c r="M13" s="448">
        <f>SUM(K13:L13)</f>
        <v/>
      </c>
      <c r="N13" s="437" t="n"/>
    </row>
    <row r="14">
      <c r="A14" s="47" t="n"/>
      <c r="B14" s="48" t="n"/>
      <c r="C14" s="39" t="n"/>
      <c r="D14" s="454" t="n"/>
      <c r="E14" s="39" t="n"/>
      <c r="F14" s="40" t="n"/>
      <c r="G14" s="40" t="n"/>
      <c r="H14" s="39" t="n"/>
      <c r="I14" s="438" t="n"/>
      <c r="J14" s="441" t="n"/>
      <c r="K14" s="437" t="n"/>
      <c r="L14" s="436" t="n"/>
      <c r="M14" s="448">
        <f>SUM(K14:L14)</f>
        <v/>
      </c>
      <c r="N14" s="437" t="n"/>
    </row>
    <row r="15">
      <c r="A15" s="45" t="n"/>
      <c r="B15" s="46" t="n"/>
      <c r="C15" s="39" t="n"/>
      <c r="D15" s="440" t="n"/>
      <c r="E15" s="39" t="n"/>
      <c r="F15" s="40" t="n"/>
      <c r="G15" s="40" t="n"/>
      <c r="H15" s="39" t="n"/>
      <c r="I15" s="438" t="n"/>
      <c r="J15" s="441" t="n"/>
      <c r="K15" s="437" t="n"/>
      <c r="L15" s="437" t="n"/>
      <c r="M15" s="448">
        <f>SUM(K15:L15)</f>
        <v/>
      </c>
      <c r="N15" s="437" t="n"/>
    </row>
    <row r="16">
      <c r="A16" s="1" t="n"/>
      <c r="B16" s="8" t="n"/>
      <c r="C16" s="53" t="n"/>
      <c r="D16" s="425" t="n"/>
      <c r="E16" s="53" t="n"/>
      <c r="F16" s="61" t="n"/>
      <c r="G16" s="61" t="n"/>
      <c r="H16" s="53" t="n"/>
      <c r="I16" s="453" t="n"/>
      <c r="J16" s="455" t="n"/>
      <c r="K16" s="451" t="n"/>
      <c r="L16" s="451" t="n"/>
      <c r="M16" s="448">
        <f>SUM(K16:L16)</f>
        <v/>
      </c>
      <c r="N16" s="437" t="n"/>
    </row>
    <row r="17">
      <c r="A17" s="51" t="n"/>
      <c r="B17" s="62" t="n"/>
      <c r="C17" s="53" t="n"/>
      <c r="D17" s="425" t="n"/>
      <c r="E17" s="53" t="n"/>
      <c r="F17" s="61" t="n"/>
      <c r="G17" s="61" t="n"/>
      <c r="H17" s="53" t="n"/>
      <c r="I17" s="453" t="n"/>
      <c r="J17" s="455" t="n"/>
      <c r="K17" s="451" t="n"/>
      <c r="L17" s="451" t="n"/>
      <c r="M17" s="448">
        <f>SUM(K17:L17)</f>
        <v/>
      </c>
      <c r="N17" s="437" t="n"/>
    </row>
    <row r="18">
      <c r="A18" s="51" t="n"/>
      <c r="B18" s="62" t="n"/>
      <c r="C18" s="53" t="n"/>
      <c r="D18" s="425" t="n"/>
      <c r="E18" s="53" t="n"/>
      <c r="F18" s="61" t="n"/>
      <c r="G18" s="61" t="n"/>
      <c r="H18" s="53" t="n"/>
      <c r="I18" s="453" t="n"/>
      <c r="J18" s="455" t="n"/>
      <c r="K18" s="451" t="n"/>
      <c r="L18" s="451" t="n"/>
      <c r="M18" s="448">
        <f>SUM(K18:L18)</f>
        <v/>
      </c>
      <c r="N18" s="437" t="n"/>
    </row>
    <row r="19">
      <c r="A19" s="51" t="n"/>
      <c r="B19" s="62" t="n"/>
      <c r="C19" s="53" t="n"/>
      <c r="D19" s="425" t="n"/>
      <c r="E19" s="53" t="n"/>
      <c r="F19" s="61" t="n"/>
      <c r="G19" s="61" t="n"/>
      <c r="H19" s="53" t="n"/>
      <c r="I19" s="453" t="n"/>
      <c r="J19" s="455" t="n"/>
      <c r="K19" s="451" t="n"/>
      <c r="L19" s="451" t="n"/>
      <c r="M19" s="448">
        <f>SUM(K19:L19)</f>
        <v/>
      </c>
      <c r="N19" s="437" t="n"/>
    </row>
    <row r="20">
      <c r="A20" s="51" t="n"/>
      <c r="B20" s="62" t="n"/>
      <c r="C20" s="53" t="n"/>
      <c r="D20" s="425" t="n"/>
      <c r="E20" s="53" t="n"/>
      <c r="F20" s="61" t="n"/>
      <c r="G20" s="61" t="n"/>
      <c r="H20" s="53" t="n"/>
      <c r="I20" s="453" t="n"/>
      <c r="J20" s="455" t="n"/>
      <c r="K20" s="451" t="n"/>
      <c r="L20" s="451" t="n"/>
      <c r="M20" s="448">
        <f>SUM(K20:L20)</f>
        <v/>
      </c>
      <c r="N20" s="437" t="n"/>
    </row>
    <row r="21">
      <c r="A21" s="51" t="n"/>
      <c r="B21" s="62" t="n"/>
      <c r="C21" s="53" t="n"/>
      <c r="D21" s="456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48">
        <f>SUM(K21:L21)</f>
        <v/>
      </c>
      <c r="N21" s="437" t="n"/>
    </row>
    <row r="22">
      <c r="A22" s="51" t="n"/>
      <c r="B22" s="62" t="n"/>
      <c r="C22" s="53" t="n"/>
      <c r="D22" s="53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48">
        <f>SUM(K22:L22)</f>
        <v/>
      </c>
      <c r="N22" s="437" t="n"/>
    </row>
    <row r="23">
      <c r="A23" s="51" t="n"/>
      <c r="B23" s="62" t="n"/>
      <c r="C23" s="53" t="n"/>
      <c r="D23" s="456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48">
        <f>SUM(K23:L23)</f>
        <v/>
      </c>
      <c r="N23" s="437" t="n"/>
    </row>
    <row r="24">
      <c r="A24" s="51" t="n"/>
      <c r="B24" s="62" t="n"/>
      <c r="C24" s="53" t="n"/>
      <c r="D24" s="53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48">
        <f>SUM(K24:L24)</f>
        <v/>
      </c>
      <c r="N24" s="437" t="n"/>
    </row>
    <row r="25">
      <c r="A25" s="51" t="n"/>
      <c r="B25" s="62" t="n"/>
      <c r="C25" s="53" t="n"/>
      <c r="D25" s="425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48">
        <f>SUM(K25:L25)</f>
        <v/>
      </c>
      <c r="N25" s="437" t="n"/>
    </row>
    <row r="26">
      <c r="A26" s="51" t="n"/>
      <c r="B26" s="62" t="n"/>
      <c r="C26" s="53" t="n"/>
      <c r="D26" s="476" t="n"/>
      <c r="E26" s="53" t="n"/>
      <c r="F26" s="61" t="n"/>
      <c r="G26" s="61" t="n"/>
      <c r="H26" s="53" t="n"/>
      <c r="I26" s="453" t="n"/>
      <c r="J26" s="455" t="n"/>
      <c r="K26" s="451" t="n"/>
      <c r="L26" s="451" t="n"/>
      <c r="M26" s="448">
        <f>SUM(K26:L26)</f>
        <v/>
      </c>
      <c r="N26" s="437" t="n"/>
    </row>
    <row r="27">
      <c r="A27" s="51" t="n"/>
      <c r="B27" s="62" t="n"/>
      <c r="C27" s="53" t="n"/>
      <c r="D27" s="425" t="n"/>
      <c r="E27" s="53" t="n"/>
      <c r="F27" s="61" t="n"/>
      <c r="G27" s="61" t="n"/>
      <c r="H27" s="53" t="n"/>
      <c r="I27" s="453" t="n"/>
      <c r="J27" s="455" t="n"/>
      <c r="K27" s="451" t="n"/>
      <c r="L27" s="451" t="n"/>
      <c r="M27" s="448">
        <f>SUM(K27:L27)</f>
        <v/>
      </c>
      <c r="N27" s="437" t="n"/>
    </row>
    <row r="28">
      <c r="A28" s="51" t="n"/>
      <c r="B28" s="62" t="n"/>
      <c r="C28" s="53" t="n"/>
      <c r="D28" s="9" t="n"/>
      <c r="E28" s="53" t="n"/>
      <c r="F28" s="61" t="n"/>
      <c r="G28" s="61" t="n"/>
      <c r="H28" s="53" t="n"/>
      <c r="I28" s="453" t="n"/>
      <c r="J28" s="455" t="n"/>
      <c r="K28" s="451" t="n"/>
      <c r="L28" s="451" t="n"/>
      <c r="M28" s="448">
        <f>SUM(K28:L28)</f>
        <v/>
      </c>
      <c r="N28" s="437" t="n"/>
    </row>
    <row r="29">
      <c r="A29" s="51" t="n"/>
      <c r="B29" s="62" t="n"/>
      <c r="C29" s="53" t="n"/>
      <c r="D29" s="425" t="n"/>
      <c r="E29" s="53" t="n"/>
      <c r="F29" s="61" t="n"/>
      <c r="G29" s="61" t="n"/>
      <c r="H29" s="53" t="n"/>
      <c r="I29" s="453" t="n"/>
      <c r="J29" s="455" t="n"/>
      <c r="K29" s="451" t="n"/>
      <c r="L29" s="451" t="n"/>
      <c r="M29" s="448">
        <f>SUM(K29:L29)</f>
        <v/>
      </c>
      <c r="N29" s="437" t="n"/>
    </row>
    <row r="30">
      <c r="A30" s="51" t="n"/>
      <c r="B30" s="62" t="n"/>
      <c r="C30" s="53" t="n"/>
      <c r="D30" s="425" t="n"/>
      <c r="E30" s="53" t="n"/>
      <c r="F30" s="61" t="n"/>
      <c r="G30" s="61" t="n"/>
      <c r="H30" s="53" t="n"/>
      <c r="I30" s="453" t="n"/>
      <c r="J30" s="455" t="n"/>
      <c r="K30" s="451" t="n"/>
      <c r="L30" s="451" t="n"/>
      <c r="M30" s="448">
        <f>SUM(K30:L30)</f>
        <v/>
      </c>
      <c r="N30" s="437" t="n"/>
    </row>
    <row r="31">
      <c r="A31" s="51" t="n"/>
      <c r="B31" s="62" t="n"/>
      <c r="C31" s="53" t="n"/>
      <c r="D31" s="456" t="n"/>
      <c r="E31" s="10" t="n"/>
      <c r="F31" s="61" t="n"/>
      <c r="G31" s="61" t="n"/>
      <c r="H31" s="10" t="n"/>
      <c r="I31" s="461" t="n"/>
      <c r="J31" s="458" t="n"/>
      <c r="K31" s="459" t="n"/>
      <c r="L31" s="459" t="n"/>
      <c r="M31" s="448">
        <f>SUM(K31:L31)</f>
        <v/>
      </c>
      <c r="N31" s="437" t="n"/>
    </row>
    <row r="32">
      <c r="A32" s="14" t="n"/>
      <c r="B32" s="15" t="n"/>
      <c r="C32" s="10" t="n"/>
      <c r="D32" s="425" t="n"/>
      <c r="E32" s="10" t="n"/>
      <c r="F32" s="61" t="n"/>
      <c r="G32" s="61" t="n"/>
      <c r="H32" s="10" t="n"/>
      <c r="I32" s="461" t="n"/>
      <c r="J32" s="458" t="n"/>
      <c r="K32" s="459" t="n"/>
      <c r="L32" s="459" t="n"/>
      <c r="M32" s="448">
        <f>SUM(K32:L32)</f>
        <v/>
      </c>
      <c r="N32" s="437" t="n"/>
    </row>
    <row r="33">
      <c r="A33" s="14" t="n"/>
      <c r="B33" s="15" t="n"/>
      <c r="C33" s="10" t="n"/>
      <c r="D33" s="460" t="n"/>
      <c r="E33" s="10" t="n"/>
      <c r="F33" s="61" t="n"/>
      <c r="G33" s="61" t="n"/>
      <c r="H33" s="10" t="n"/>
      <c r="I33" s="461" t="n"/>
      <c r="J33" s="458" t="n"/>
      <c r="K33" s="459" t="n"/>
      <c r="L33" s="459" t="n"/>
      <c r="M33" s="448">
        <f>SUM(K33:L33)</f>
        <v/>
      </c>
      <c r="N33" s="437" t="n"/>
    </row>
    <row r="34">
      <c r="A34" s="14" t="n"/>
      <c r="B34" s="15" t="n"/>
      <c r="C34" s="10" t="n"/>
      <c r="D34" s="460" t="n"/>
      <c r="E34" s="10" t="n"/>
      <c r="F34" s="61" t="n"/>
      <c r="G34" s="61" t="n"/>
      <c r="H34" s="10" t="n"/>
      <c r="I34" s="461" t="n"/>
      <c r="J34" s="458" t="n"/>
      <c r="K34" s="459" t="n"/>
      <c r="L34" s="459" t="n"/>
      <c r="M34" s="448">
        <f>SUM(K34:L34)</f>
        <v/>
      </c>
      <c r="N34" s="437" t="n"/>
    </row>
    <row r="35">
      <c r="A35" s="14" t="n"/>
      <c r="B35" s="15" t="n"/>
      <c r="C35" s="10" t="n"/>
      <c r="D35" s="425" t="n"/>
      <c r="E35" s="10" t="n"/>
      <c r="F35" s="61" t="n"/>
      <c r="G35" s="61" t="n"/>
      <c r="H35" s="10" t="n"/>
      <c r="I35" s="461" t="n"/>
      <c r="J35" s="458" t="n"/>
      <c r="K35" s="459" t="n"/>
      <c r="L35" s="459" t="n"/>
      <c r="M35" s="448">
        <f>SUM(K35:L35)</f>
        <v/>
      </c>
      <c r="N35" s="437" t="n"/>
    </row>
    <row r="36">
      <c r="A36" s="17" t="n"/>
      <c r="B36" s="18" t="n"/>
      <c r="C36" s="10" t="n"/>
      <c r="D36" s="452" t="n"/>
      <c r="E36" s="10" t="n"/>
      <c r="F36" s="61" t="n"/>
      <c r="G36" s="61" t="n"/>
      <c r="H36" s="10" t="n"/>
      <c r="I36" s="461" t="n"/>
      <c r="J36" s="458" t="n"/>
      <c r="K36" s="459" t="n"/>
      <c r="L36" s="459" t="n"/>
      <c r="M36" s="448">
        <f>SUM(K36:L36)</f>
        <v/>
      </c>
      <c r="N36" s="437" t="n"/>
    </row>
    <row r="37">
      <c r="A37" s="83" t="n"/>
      <c r="B37" s="84" t="n"/>
      <c r="C37" s="78" t="n"/>
      <c r="D37" s="479" t="n"/>
      <c r="E37" s="78" t="n"/>
      <c r="F37" s="79" t="n"/>
      <c r="G37" s="79" t="n"/>
      <c r="H37" s="78" t="n"/>
      <c r="I37" s="480" t="n"/>
      <c r="J37" s="481" t="n"/>
      <c r="K37" s="482" t="n"/>
      <c r="L37" s="482" t="n"/>
      <c r="M37" s="494" t="n"/>
      <c r="N37" s="437" t="n"/>
    </row>
    <row r="38">
      <c r="A38" s="20" t="n"/>
      <c r="B38" s="21" t="n"/>
      <c r="C38" s="22" t="n"/>
      <c r="D38" s="21" t="n"/>
      <c r="E38" s="21" t="n"/>
      <c r="F38" s="21" t="n"/>
      <c r="G38" s="21" t="n"/>
      <c r="H38" s="21" t="n"/>
      <c r="J38" s="469" t="n"/>
      <c r="K38" s="470" t="n"/>
      <c r="L38" s="470" t="n"/>
      <c r="N38" s="437" t="n"/>
    </row>
    <row r="39">
      <c r="A39" s="20" t="n"/>
      <c r="B39" s="21" t="n"/>
      <c r="C39" s="22" t="n"/>
      <c r="D39" s="21" t="n"/>
      <c r="E39" s="21" t="n"/>
      <c r="F39" s="21" t="n"/>
      <c r="G39" s="21" t="n"/>
      <c r="H39" s="21" t="n"/>
      <c r="J39" s="469" t="n"/>
      <c r="K39" s="470" t="n"/>
      <c r="L39" s="470" t="n"/>
      <c r="M39" s="473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9" t="n"/>
      <c r="K40" s="470" t="n"/>
      <c r="L40" s="470" t="n"/>
      <c r="M40" s="472">
        <f>SUM(M2:M36)</f>
        <v/>
      </c>
      <c r="N40" s="472">
        <f>SUM(N2:N36)</f>
        <v/>
      </c>
    </row>
    <row r="41">
      <c r="C41" s="30" t="n"/>
    </row>
    <row r="42">
      <c r="C42" s="3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</sheetData>
  <autoFilter ref="A1:N36">
    <sortState ref="A2:N36">
      <sortCondition descending="1" ref="B1:B36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34"/>
  <sheetViews>
    <sheetView topLeftCell="C6" zoomScale="73" zoomScaleNormal="73" workbookViewId="0">
      <selection activeCell="D14" sqref="D14"/>
    </sheetView>
  </sheetViews>
  <sheetFormatPr baseColWidth="8" defaultColWidth="8.75" defaultRowHeight="15"/>
  <cols>
    <col width="10" customWidth="1" style="29" min="1" max="1"/>
    <col width="64.25" customWidth="1" min="3" max="3"/>
    <col width="25.25" customWidth="1" min="4" max="4"/>
    <col width="9" bestFit="1" customWidth="1" min="5" max="7"/>
    <col width="11.5" bestFit="1" customWidth="1" min="8" max="8"/>
    <col width="9.5" customWidth="1" min="9" max="9"/>
    <col width="31.875" customWidth="1" style="423" min="10" max="10"/>
    <col width="9" bestFit="1" customWidth="1" style="424" min="11" max="12"/>
    <col width="15.125" customWidth="1" style="424" min="13" max="13"/>
  </cols>
  <sheetData>
    <row r="1">
      <c r="A1" s="9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5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Format="1" customHeight="1" s="112">
      <c r="A2" s="91" t="inlineStr">
        <is>
          <t>546177</t>
        </is>
      </c>
      <c r="B2" s="48" t="n">
        <v>0.04861111111111111</v>
      </c>
      <c r="C2" s="165" t="inlineStr">
        <is>
          <t>TST &gt; AP</t>
        </is>
      </c>
      <c r="D2" s="440" t="inlineStr">
        <is>
          <t>Keith CK9898 9888 0261</t>
        </is>
      </c>
      <c r="E2" s="39" t="inlineStr">
        <is>
          <t>Done</t>
        </is>
      </c>
      <c r="F2" s="40" t="n">
        <v>0.05208333333333334</v>
      </c>
      <c r="G2" s="40" t="n">
        <v>0.07152777777777777</v>
      </c>
      <c r="H2" s="39" t="n"/>
      <c r="I2" s="438" t="n"/>
      <c r="J2" s="485" t="inlineStr">
        <is>
          <t>OT $60</t>
        </is>
      </c>
      <c r="K2" s="437" t="n">
        <v>60</v>
      </c>
      <c r="L2" s="436" t="n">
        <v>400</v>
      </c>
      <c r="M2" s="437">
        <f>SUM(K2:L2)</f>
        <v/>
      </c>
      <c r="N2" s="437" t="n">
        <v>30</v>
      </c>
    </row>
    <row r="3" ht="17.25" customFormat="1" customHeight="1" s="6">
      <c r="A3" s="91" t="inlineStr">
        <is>
          <t>546242</t>
        </is>
      </c>
      <c r="B3" s="174" t="n">
        <v>0.1041666666666667</v>
      </c>
      <c r="C3" s="165" t="inlineStr">
        <is>
          <t>TST &gt; AP</t>
        </is>
      </c>
      <c r="D3" s="425" t="inlineStr">
        <is>
          <t>Eva TZ9800 9706 2468</t>
        </is>
      </c>
      <c r="E3" s="39" t="inlineStr">
        <is>
          <t>Done</t>
        </is>
      </c>
      <c r="F3" s="40" t="n">
        <v>0.1125</v>
      </c>
      <c r="G3" s="40" t="n">
        <v>0.1215277777777778</v>
      </c>
      <c r="H3" s="39" t="n"/>
      <c r="I3" s="438" t="n"/>
      <c r="J3" s="485" t="inlineStr">
        <is>
          <t>OT $60</t>
        </is>
      </c>
      <c r="K3" s="488" t="n">
        <v>60</v>
      </c>
      <c r="L3" s="489" t="n">
        <v>400</v>
      </c>
      <c r="M3" s="437">
        <f>SUM(K3:L3)</f>
        <v/>
      </c>
      <c r="N3" s="437" t="n">
        <v>30</v>
      </c>
      <c r="O3" s="448" t="n"/>
    </row>
    <row r="4" ht="17.25" customFormat="1" customHeight="1" s="6">
      <c r="A4" s="91" t="inlineStr">
        <is>
          <t>546178</t>
        </is>
      </c>
      <c r="B4" s="174" t="n">
        <v>0.1111111111111111</v>
      </c>
      <c r="C4" s="165" t="inlineStr">
        <is>
          <t>TST &gt; AP</t>
        </is>
      </c>
      <c r="D4" s="440" t="inlineStr">
        <is>
          <t xml:space="preserve">Ivan FN655 9261 2485 </t>
        </is>
      </c>
      <c r="E4" s="39" t="inlineStr">
        <is>
          <t>Done</t>
        </is>
      </c>
      <c r="F4" s="40" t="n">
        <v>0.1125</v>
      </c>
      <c r="G4" s="40" t="n">
        <v>0.1319444444444444</v>
      </c>
      <c r="H4" s="39" t="n"/>
      <c r="I4" s="438" t="n"/>
      <c r="J4" s="485" t="inlineStr">
        <is>
          <t>OT $60</t>
        </is>
      </c>
      <c r="K4" s="488" t="n">
        <v>60</v>
      </c>
      <c r="L4" s="489" t="n">
        <v>400</v>
      </c>
      <c r="M4" s="437">
        <f>SUM(K4:L4)</f>
        <v/>
      </c>
      <c r="N4" s="437" t="n">
        <v>30</v>
      </c>
      <c r="O4" s="448" t="n"/>
    </row>
    <row r="5" ht="17.25" customFormat="1" customHeight="1" s="6">
      <c r="A5" s="91" t="inlineStr">
        <is>
          <t>546179</t>
        </is>
      </c>
      <c r="B5" s="48" t="n">
        <v>0.06944444444444445</v>
      </c>
      <c r="C5" s="165" t="inlineStr">
        <is>
          <t>Mb376 &gt; TST</t>
        </is>
      </c>
      <c r="D5" s="167" t="inlineStr">
        <is>
          <t>Keith CK9898 9888 0261</t>
        </is>
      </c>
      <c r="E5" s="264" t="inlineStr">
        <is>
          <t>Done</t>
        </is>
      </c>
      <c r="F5" s="40" t="n">
        <v>0.1159722222222222</v>
      </c>
      <c r="G5" s="40" t="n">
        <v>0.1368055555555556</v>
      </c>
      <c r="H5" s="39" t="n"/>
      <c r="I5" s="513" t="n"/>
      <c r="J5" s="485" t="inlineStr">
        <is>
          <t>OT $60 ， P $35</t>
        </is>
      </c>
      <c r="K5" s="437" t="n">
        <v>95</v>
      </c>
      <c r="L5" s="436" t="n">
        <v>400</v>
      </c>
      <c r="M5" s="437">
        <f>SUM(K5:L5)</f>
        <v/>
      </c>
      <c r="N5" s="437" t="n">
        <v>30</v>
      </c>
    </row>
    <row r="6" ht="17.25" customFormat="1" customHeight="1" s="6">
      <c r="A6" s="91" t="inlineStr">
        <is>
          <t>546179</t>
        </is>
      </c>
      <c r="B6" s="48" t="n">
        <v>0.06944444444444445</v>
      </c>
      <c r="C6" s="165" t="inlineStr">
        <is>
          <t>Mb376 &gt; TST</t>
        </is>
      </c>
      <c r="D6" s="425" t="inlineStr">
        <is>
          <t>Stanley LJ9800 9828 6100</t>
        </is>
      </c>
      <c r="E6" s="264" t="inlineStr">
        <is>
          <t>Done</t>
        </is>
      </c>
      <c r="F6" s="40" t="n">
        <v>0.1159722222222222</v>
      </c>
      <c r="G6" s="40" t="n">
        <v>0.1368055555555556</v>
      </c>
      <c r="H6" s="39" t="n"/>
      <c r="I6" s="513" t="n"/>
      <c r="J6" s="485" t="inlineStr">
        <is>
          <t>OT $60 ， P $35</t>
        </is>
      </c>
      <c r="K6" s="437" t="n">
        <v>95</v>
      </c>
      <c r="L6" s="436" t="n">
        <v>400</v>
      </c>
      <c r="M6" s="437">
        <f>SUM(K6:L6)</f>
        <v/>
      </c>
      <c r="N6" s="437" t="n">
        <v>30</v>
      </c>
    </row>
    <row r="7" ht="17.25" customFormat="1" customHeight="1" s="6">
      <c r="A7" s="220" t="inlineStr">
        <is>
          <t>546243</t>
        </is>
      </c>
      <c r="B7" s="223" t="n">
        <v>0.125</v>
      </c>
      <c r="C7" s="224" t="inlineStr">
        <is>
          <t>Mb503 &gt; TST</t>
        </is>
      </c>
      <c r="D7" s="101" t="inlineStr">
        <is>
          <t>Eva TZ9800 9706 2468</t>
        </is>
      </c>
      <c r="E7" s="39" t="inlineStr">
        <is>
          <t>Done</t>
        </is>
      </c>
      <c r="F7" s="40" t="n">
        <v>0.1631944444444444</v>
      </c>
      <c r="G7" s="40" t="n">
        <v>0.1819444444444444</v>
      </c>
      <c r="H7" s="165" t="n"/>
      <c r="I7" s="438" t="n"/>
      <c r="J7" s="485" t="inlineStr">
        <is>
          <t>OT $60 ， P $35</t>
        </is>
      </c>
      <c r="K7" s="488" t="n">
        <v>95</v>
      </c>
      <c r="L7" s="436" t="n">
        <v>400</v>
      </c>
      <c r="M7" s="437">
        <f>SUM(K7:L7)</f>
        <v/>
      </c>
      <c r="N7" s="437" t="n">
        <v>30</v>
      </c>
    </row>
    <row r="8" ht="17.25" customFormat="1" customHeight="1" s="6">
      <c r="A8" s="220" t="inlineStr">
        <is>
          <t>546243</t>
        </is>
      </c>
      <c r="B8" s="223" t="n">
        <v>0.125</v>
      </c>
      <c r="C8" s="224" t="inlineStr">
        <is>
          <t>Mb503 &gt; TST</t>
        </is>
      </c>
      <c r="D8" s="101" t="inlineStr">
        <is>
          <t>Cheuk WH9918 9669 5358</t>
        </is>
      </c>
      <c r="E8" s="39" t="inlineStr">
        <is>
          <t>Done</t>
        </is>
      </c>
      <c r="F8" s="40" t="n">
        <v>0.1631944444444444</v>
      </c>
      <c r="G8" s="40" t="n">
        <v>0.1819444444444444</v>
      </c>
      <c r="H8" s="165" t="n"/>
      <c r="I8" s="438" t="n"/>
      <c r="J8" s="485" t="inlineStr">
        <is>
          <t>OT $60 ， P $35</t>
        </is>
      </c>
      <c r="K8" s="488" t="n">
        <v>95</v>
      </c>
      <c r="L8" s="436" t="n">
        <v>400</v>
      </c>
      <c r="M8" s="437">
        <f>SUM(K8:L8)</f>
        <v/>
      </c>
      <c r="N8" s="437" t="n">
        <v>30</v>
      </c>
    </row>
    <row r="9" ht="17.25" customFormat="1" customHeight="1" s="6">
      <c r="A9" s="220" t="inlineStr">
        <is>
          <t>546244</t>
        </is>
      </c>
      <c r="B9" s="223" t="n">
        <v>0.1666666666666667</v>
      </c>
      <c r="C9" s="265" t="inlineStr">
        <is>
          <t>TST &gt; AP</t>
        </is>
      </c>
      <c r="D9" s="440" t="inlineStr">
        <is>
          <t>Stanley LJ9800 9828 6100</t>
        </is>
      </c>
      <c r="E9" s="103" t="inlineStr">
        <is>
          <t>Done</t>
        </is>
      </c>
      <c r="F9" s="40" t="n">
        <v>0.1625</v>
      </c>
      <c r="G9" s="40" t="n">
        <v>0.1826388888888889</v>
      </c>
      <c r="H9" s="165" t="n"/>
      <c r="I9" s="438" t="n"/>
      <c r="J9" s="485" t="inlineStr">
        <is>
          <t>OT $60</t>
        </is>
      </c>
      <c r="K9" s="488" t="n">
        <v>60</v>
      </c>
      <c r="L9" s="436" t="n">
        <v>400</v>
      </c>
      <c r="M9" s="437">
        <f>SUM(K9:L9)</f>
        <v/>
      </c>
      <c r="N9" s="437" t="n">
        <v>30</v>
      </c>
    </row>
    <row r="10" ht="17.25" customFormat="1" customHeight="1" s="6">
      <c r="A10" s="220" t="inlineStr">
        <is>
          <t>531362</t>
        </is>
      </c>
      <c r="B10" s="223" t="n">
        <v>0.46875</v>
      </c>
      <c r="C10" s="224" t="inlineStr">
        <is>
          <t>千禧新世紀 &gt; 啟德</t>
        </is>
      </c>
      <c r="D10" s="511" t="inlineStr">
        <is>
          <t>Abble RN377 9551 4488</t>
        </is>
      </c>
      <c r="E10" s="266" t="inlineStr">
        <is>
          <t>Done</t>
        </is>
      </c>
      <c r="F10" s="166" t="n">
        <v>0.4652777777777778</v>
      </c>
      <c r="G10" s="166" t="n">
        <v>0.4791666666666667</v>
      </c>
      <c r="H10" s="495" t="n"/>
      <c r="I10" s="446" t="n"/>
      <c r="J10" s="317" t="n"/>
      <c r="K10" s="448" t="n"/>
      <c r="L10" s="477" t="n">
        <v>250</v>
      </c>
      <c r="M10" s="437">
        <f>SUM(K10:L10)</f>
        <v/>
      </c>
      <c r="N10" s="437" t="n">
        <v>0</v>
      </c>
    </row>
    <row r="11" ht="17.25" customFormat="1" customHeight="1" s="6">
      <c r="A11" s="220" t="inlineStr">
        <is>
          <t>531362</t>
        </is>
      </c>
      <c r="B11" s="223" t="n">
        <v>0.46875</v>
      </c>
      <c r="C11" s="224" t="inlineStr">
        <is>
          <t>千禧新世紀 &gt; 啟德</t>
        </is>
      </c>
      <c r="D11" s="511" t="inlineStr">
        <is>
          <t>Kan Ww8421 6696 7923</t>
        </is>
      </c>
      <c r="E11" s="266" t="inlineStr">
        <is>
          <t>Done</t>
        </is>
      </c>
      <c r="F11" s="166" t="n">
        <v>0.4652777777777778</v>
      </c>
      <c r="G11" s="166" t="n">
        <v>0.4791666666666667</v>
      </c>
      <c r="H11" s="495" t="n"/>
      <c r="I11" s="446" t="n"/>
      <c r="J11" s="317" t="n"/>
      <c r="K11" s="448" t="n"/>
      <c r="L11" s="477" t="n">
        <v>250</v>
      </c>
      <c r="M11" s="437">
        <f>SUM(K11:L11)</f>
        <v/>
      </c>
      <c r="N11" s="437" t="n">
        <v>0</v>
      </c>
    </row>
    <row r="12" ht="17.25" customFormat="1" customHeight="1" s="6">
      <c r="A12" s="220" t="inlineStr">
        <is>
          <t>531362</t>
        </is>
      </c>
      <c r="B12" s="223" t="n">
        <v>0.46875</v>
      </c>
      <c r="C12" s="224" t="inlineStr">
        <is>
          <t>千禧新世紀 &gt; 啟德</t>
        </is>
      </c>
      <c r="D12" s="511" t="inlineStr">
        <is>
          <t>Frina zJ6071 9294 5763</t>
        </is>
      </c>
      <c r="E12" s="266" t="inlineStr">
        <is>
          <t>Done</t>
        </is>
      </c>
      <c r="F12" s="166" t="n">
        <v>0.4652777777777778</v>
      </c>
      <c r="G12" s="166" t="n">
        <v>0.4791666666666667</v>
      </c>
      <c r="H12" s="495" t="n"/>
      <c r="I12" s="446" t="n"/>
      <c r="J12" s="317" t="n"/>
      <c r="K12" s="448" t="n"/>
      <c r="L12" s="477" t="n">
        <v>250</v>
      </c>
      <c r="M12" s="437">
        <f>SUM(K12:L12)</f>
        <v/>
      </c>
      <c r="N12" s="437" t="n">
        <v>0</v>
      </c>
    </row>
    <row r="13" ht="17.25" customFormat="1" customHeight="1" s="6">
      <c r="A13" s="220" t="inlineStr">
        <is>
          <t>545679</t>
        </is>
      </c>
      <c r="B13" s="223" t="n">
        <v>0.46875</v>
      </c>
      <c r="C13" s="224" t="inlineStr">
        <is>
          <t>AK138 &gt; 灣仔</t>
        </is>
      </c>
      <c r="D13" s="514" t="inlineStr">
        <is>
          <t>Stanley LJ9800 9828 6100</t>
        </is>
      </c>
      <c r="E13" s="225" t="inlineStr">
        <is>
          <t>Done</t>
        </is>
      </c>
      <c r="F13" s="218" t="n">
        <v>0.5277777777777778</v>
      </c>
      <c r="G13" s="218" t="n">
        <v>0.5590277777777778</v>
      </c>
      <c r="H13" s="149" t="n"/>
      <c r="I13" s="515" t="n"/>
      <c r="J13" s="507" t="inlineStr">
        <is>
          <t>P$35 ， b b seat $160, 西隧$40</t>
        </is>
      </c>
      <c r="K13" s="488" t="n">
        <v>235</v>
      </c>
      <c r="L13" s="436" t="n">
        <v>460</v>
      </c>
      <c r="M13" s="437">
        <f>SUM(K13:L13)</f>
        <v/>
      </c>
      <c r="N13" s="437" t="n">
        <v>30</v>
      </c>
    </row>
    <row r="14" ht="17.25" customFormat="1" customHeight="1" s="6">
      <c r="A14" s="220" t="inlineStr">
        <is>
          <t>546355</t>
        </is>
      </c>
      <c r="B14" s="221" t="n">
        <v>0.7118055555555556</v>
      </c>
      <c r="C14" s="224" t="inlineStr">
        <is>
          <t>TST &gt; AP</t>
        </is>
      </c>
      <c r="D14" s="514" t="inlineStr">
        <is>
          <t>Eva TZ9800 9706 2468</t>
        </is>
      </c>
      <c r="E14" s="103" t="inlineStr">
        <is>
          <t>Done</t>
        </is>
      </c>
      <c r="F14" s="40" t="n">
        <v>0.7215277777777778</v>
      </c>
      <c r="G14" s="40" t="n">
        <v>0.7465277777777778</v>
      </c>
      <c r="H14" s="495" t="n"/>
      <c r="I14" s="438" t="n"/>
      <c r="J14" s="441" t="n"/>
      <c r="K14" s="437" t="n"/>
      <c r="L14" s="436" t="n">
        <v>400</v>
      </c>
      <c r="M14" s="437">
        <f>SUM(K14:L14)</f>
        <v/>
      </c>
      <c r="N14" s="437" t="n">
        <v>30</v>
      </c>
    </row>
    <row r="15" ht="17.25" customFormat="1" customHeight="1" s="6">
      <c r="A15" s="163" t="inlineStr">
        <is>
          <t>546357</t>
        </is>
      </c>
      <c r="B15" s="120" t="n">
        <v>0.7743055555555556</v>
      </c>
      <c r="C15" s="167" t="inlineStr">
        <is>
          <t>TST &gt; AP</t>
        </is>
      </c>
      <c r="D15" s="440" t="inlineStr">
        <is>
          <t>Addy WH9918 5722 6551</t>
        </is>
      </c>
      <c r="E15" s="39" t="inlineStr">
        <is>
          <t>Done</t>
        </is>
      </c>
      <c r="F15" s="40" t="n">
        <v>0.7708333333333334</v>
      </c>
      <c r="G15" s="40" t="n">
        <v>0.7986111111111112</v>
      </c>
      <c r="H15" s="39" t="n"/>
      <c r="I15" s="438" t="n"/>
      <c r="J15" s="507" t="n"/>
      <c r="K15" s="488" t="n"/>
      <c r="L15" s="489" t="n">
        <v>400</v>
      </c>
      <c r="M15" s="437">
        <f>SUM(K15:L15)</f>
        <v/>
      </c>
      <c r="N15" s="437" t="n">
        <v>30</v>
      </c>
    </row>
    <row r="16" ht="17.25" customFormat="1" customHeight="1" s="6">
      <c r="A16" s="91" t="inlineStr">
        <is>
          <t>546356</t>
        </is>
      </c>
      <c r="B16" s="174" t="n">
        <v>0.7534722222222222</v>
      </c>
      <c r="C16" s="167" t="inlineStr">
        <is>
          <t>MB5454 &gt; TST</t>
        </is>
      </c>
      <c r="D16" s="440" t="inlineStr">
        <is>
          <t>Eva TZ9800 9706 2468</t>
        </is>
      </c>
      <c r="E16" s="39" t="inlineStr">
        <is>
          <t>Done</t>
        </is>
      </c>
      <c r="F16" s="40" t="n">
        <v>0.7840277777777778</v>
      </c>
      <c r="G16" s="40" t="n">
        <v>0.8069444444444445</v>
      </c>
      <c r="H16" s="39" t="n"/>
      <c r="I16" s="438" t="n"/>
      <c r="J16" s="441" t="inlineStr">
        <is>
          <t>P$35</t>
        </is>
      </c>
      <c r="K16" s="437" t="n">
        <v>35</v>
      </c>
      <c r="L16" s="436" t="n">
        <v>400</v>
      </c>
      <c r="M16" s="437">
        <f>SUM(K16:L16)</f>
        <v/>
      </c>
      <c r="N16" s="437" t="n">
        <v>30</v>
      </c>
    </row>
    <row r="17" ht="17.25" customFormat="1" customHeight="1" s="6">
      <c r="A17" s="91" t="inlineStr">
        <is>
          <t>546356</t>
        </is>
      </c>
      <c r="B17" s="174" t="n">
        <v>0.7534722222222222</v>
      </c>
      <c r="C17" s="167" t="inlineStr">
        <is>
          <t>MB5454 &gt; TST</t>
        </is>
      </c>
      <c r="D17" s="440" t="inlineStr">
        <is>
          <t>Man ZJ6071 6089 6960</t>
        </is>
      </c>
      <c r="E17" s="39" t="inlineStr">
        <is>
          <t>Done</t>
        </is>
      </c>
      <c r="F17" s="40" t="n">
        <v>0.7840277777777778</v>
      </c>
      <c r="G17" s="40" t="n">
        <v>0.8069444444444445</v>
      </c>
      <c r="H17" s="39" t="n"/>
      <c r="I17" s="438" t="n"/>
      <c r="J17" s="441" t="inlineStr">
        <is>
          <t>P$35</t>
        </is>
      </c>
      <c r="K17" s="437" t="n">
        <v>35</v>
      </c>
      <c r="L17" s="436" t="n">
        <v>400</v>
      </c>
      <c r="M17" s="437">
        <f>SUM(K17:L17)</f>
        <v/>
      </c>
      <c r="N17" s="437" t="n">
        <v>30</v>
      </c>
    </row>
    <row r="18" ht="17.25" customHeight="1">
      <c r="A18" s="159" t="n"/>
      <c r="B18" s="46" t="n"/>
      <c r="C18" s="170" t="n"/>
      <c r="D18" s="158" t="n"/>
      <c r="E18" s="516" t="n"/>
      <c r="F18" s="172" t="n"/>
      <c r="G18" s="172" t="n"/>
      <c r="H18" s="516" t="n"/>
      <c r="I18" s="517" t="n"/>
      <c r="J18" s="485" t="n"/>
      <c r="K18" s="448" t="n"/>
      <c r="L18" s="437" t="n"/>
      <c r="M18" s="448">
        <f>SUM(K18:L18)</f>
        <v/>
      </c>
      <c r="N18" s="437" t="n"/>
    </row>
    <row r="19" ht="17.25" customHeight="1">
      <c r="A19" s="159" t="n"/>
      <c r="B19" s="168" t="n"/>
      <c r="C19" s="167" t="n"/>
      <c r="D19" s="487" t="n"/>
      <c r="E19" s="165" t="n"/>
      <c r="F19" s="166" t="n"/>
      <c r="G19" s="166" t="n"/>
      <c r="H19" s="165" t="n"/>
      <c r="I19" s="446" t="n"/>
      <c r="J19" s="485" t="n"/>
      <c r="K19" s="448" t="n"/>
      <c r="L19" s="477" t="n"/>
      <c r="M19" s="448">
        <f>SUM(K19:L19)</f>
        <v/>
      </c>
      <c r="N19" s="437" t="n"/>
    </row>
    <row r="20" ht="17.25" customHeight="1">
      <c r="A20" s="159" t="n"/>
      <c r="B20" s="174" t="n"/>
      <c r="C20" s="158" t="n"/>
      <c r="D20" s="487" t="n"/>
      <c r="E20" s="165" t="n"/>
      <c r="F20" s="166" t="n"/>
      <c r="G20" s="166" t="n"/>
      <c r="H20" s="165" t="n"/>
      <c r="I20" s="446" t="n"/>
      <c r="J20" s="485" t="n"/>
      <c r="K20" s="448" t="n"/>
      <c r="L20" s="477" t="n"/>
      <c r="M20" s="448">
        <f>SUM(K20:L20)</f>
        <v/>
      </c>
      <c r="N20" s="437" t="n"/>
    </row>
    <row r="21" ht="17.25" customHeight="1">
      <c r="A21" s="159" t="n"/>
      <c r="B21" s="168" t="n"/>
      <c r="C21" s="167" t="n"/>
      <c r="D21" s="487" t="n"/>
      <c r="E21" s="165" t="n"/>
      <c r="F21" s="166" t="n"/>
      <c r="G21" s="166" t="n"/>
      <c r="H21" s="165" t="n"/>
      <c r="I21" s="446" t="n"/>
      <c r="J21" s="485" t="n"/>
      <c r="K21" s="448" t="n"/>
      <c r="L21" s="477" t="n"/>
      <c r="M21" s="448">
        <f>SUM(K21:L21)</f>
        <v/>
      </c>
      <c r="N21" s="437" t="n"/>
    </row>
    <row r="22" ht="17.25" customHeight="1">
      <c r="A22" s="159" t="n"/>
      <c r="B22" s="168" t="n"/>
      <c r="C22" s="165" t="n"/>
      <c r="D22" s="487" t="n"/>
      <c r="E22" s="165" t="n"/>
      <c r="F22" s="166" t="n"/>
      <c r="G22" s="166" t="n"/>
      <c r="H22" s="165" t="n"/>
      <c r="I22" s="446" t="n"/>
      <c r="J22" s="485" t="n"/>
      <c r="K22" s="448" t="n"/>
      <c r="L22" s="477" t="n"/>
      <c r="M22" s="448">
        <f>SUM(K22:L22)</f>
        <v/>
      </c>
      <c r="N22" s="437" t="n"/>
    </row>
    <row r="23" ht="17.25" customHeight="1">
      <c r="A23" s="159" t="n"/>
      <c r="B23" s="174" t="n"/>
      <c r="C23" s="165" t="n"/>
      <c r="D23" s="487" t="n"/>
      <c r="E23" s="165" t="n"/>
      <c r="F23" s="166" t="n"/>
      <c r="G23" s="166" t="n"/>
      <c r="H23" s="495" t="n"/>
      <c r="I23" s="446" t="n"/>
      <c r="J23" s="485" t="n"/>
      <c r="K23" s="448" t="n"/>
      <c r="L23" s="477" t="n"/>
      <c r="M23" s="448">
        <f>SUM(K23:L23)</f>
        <v/>
      </c>
      <c r="N23" s="437" t="n"/>
    </row>
    <row r="24" ht="17.25" customHeight="1">
      <c r="A24" s="159" t="n"/>
      <c r="B24" s="168" t="n"/>
      <c r="C24" s="165" t="n"/>
      <c r="D24" s="518" t="n"/>
      <c r="E24" s="165" t="n"/>
      <c r="F24" s="166" t="n"/>
      <c r="G24" s="166" t="n"/>
      <c r="H24" s="495" t="n"/>
      <c r="I24" s="446" t="n"/>
      <c r="J24" s="446" t="n"/>
      <c r="K24" s="448" t="n"/>
      <c r="L24" s="477" t="n"/>
      <c r="M24" s="448">
        <f>SUM(K24:L24)</f>
        <v/>
      </c>
      <c r="N24" s="437" t="n"/>
    </row>
    <row r="25">
      <c r="A25" s="159" t="n"/>
      <c r="B25" s="168" t="n"/>
      <c r="C25" s="165" t="n"/>
      <c r="D25" s="487" t="n"/>
      <c r="E25" s="165" t="n"/>
      <c r="F25" s="166" t="n"/>
      <c r="G25" s="166" t="n"/>
      <c r="H25" s="165" t="n"/>
      <c r="I25" s="446" t="n"/>
      <c r="J25" s="485" t="n"/>
      <c r="K25" s="448" t="n"/>
      <c r="L25" s="477" t="n"/>
      <c r="M25" s="448">
        <f>SUM(K25:L25)</f>
        <v/>
      </c>
      <c r="N25" s="437" t="n"/>
    </row>
    <row r="26">
      <c r="A26" s="159" t="n"/>
      <c r="B26" s="174" t="n"/>
      <c r="C26" s="167" t="n"/>
      <c r="D26" s="487" t="n"/>
      <c r="E26" s="165" t="n"/>
      <c r="F26" s="166" t="n"/>
      <c r="G26" s="166" t="n"/>
      <c r="H26" s="165" t="n"/>
      <c r="I26" s="446" t="n"/>
      <c r="J26" s="485" t="n"/>
      <c r="K26" s="448" t="n"/>
      <c r="L26" s="477" t="n"/>
      <c r="M26" s="448">
        <f>SUM(K26:L26)</f>
        <v/>
      </c>
      <c r="N26" s="437" t="n"/>
    </row>
    <row r="27">
      <c r="A27" s="51" t="n"/>
      <c r="B27" s="62" t="n"/>
      <c r="C27" s="53" t="n"/>
      <c r="D27" s="476" t="n"/>
      <c r="E27" s="53" t="n"/>
      <c r="F27" s="61" t="n"/>
      <c r="G27" s="61" t="n"/>
      <c r="H27" s="53" t="n"/>
      <c r="I27" s="453" t="n"/>
      <c r="J27" s="455" t="n"/>
      <c r="K27" s="451" t="n"/>
      <c r="L27" s="451" t="n"/>
      <c r="M27" s="448">
        <f>SUM(K27:L27)</f>
        <v/>
      </c>
      <c r="N27" s="437" t="n"/>
    </row>
    <row r="28">
      <c r="A28" s="51" t="n"/>
      <c r="B28" s="62" t="n"/>
      <c r="C28" s="53" t="n"/>
      <c r="D28" s="425" t="n"/>
      <c r="E28" s="53" t="n"/>
      <c r="F28" s="61" t="n"/>
      <c r="G28" s="61" t="n"/>
      <c r="H28" s="53" t="n"/>
      <c r="I28" s="453" t="n"/>
      <c r="J28" s="455" t="n"/>
      <c r="K28" s="451" t="n"/>
      <c r="L28" s="451" t="n"/>
      <c r="M28" s="448">
        <f>SUM(K28:L28)</f>
        <v/>
      </c>
      <c r="N28" s="437" t="n"/>
    </row>
    <row r="29">
      <c r="A29" s="51" t="n"/>
      <c r="B29" s="62" t="n"/>
      <c r="C29" s="53" t="n"/>
      <c r="D29" s="9" t="n"/>
      <c r="E29" s="53" t="n"/>
      <c r="F29" s="61" t="n"/>
      <c r="G29" s="61" t="n"/>
      <c r="H29" s="53" t="n"/>
      <c r="I29" s="453" t="n"/>
      <c r="J29" s="455" t="n"/>
      <c r="K29" s="451" t="n"/>
      <c r="L29" s="451" t="n"/>
      <c r="M29" s="448">
        <f>SUM(K29:L29)</f>
        <v/>
      </c>
      <c r="N29" s="437" t="n"/>
    </row>
    <row r="30">
      <c r="A30" s="51" t="n"/>
      <c r="B30" s="62" t="n"/>
      <c r="C30" s="53" t="n"/>
      <c r="D30" s="425" t="n"/>
      <c r="E30" s="53" t="n"/>
      <c r="F30" s="61" t="n"/>
      <c r="G30" s="61" t="n"/>
      <c r="H30" s="53" t="n"/>
      <c r="I30" s="453" t="n"/>
      <c r="J30" s="455" t="n"/>
      <c r="K30" s="451" t="n"/>
      <c r="L30" s="451" t="n"/>
      <c r="M30" s="448">
        <f>SUM(K30:L30)</f>
        <v/>
      </c>
      <c r="N30" s="437" t="n"/>
    </row>
    <row r="31">
      <c r="A31" s="51" t="n"/>
      <c r="B31" s="62" t="n"/>
      <c r="C31" s="53" t="n"/>
      <c r="D31" s="425" t="n"/>
      <c r="E31" s="53" t="n"/>
      <c r="F31" s="61" t="n"/>
      <c r="G31" s="61" t="n"/>
      <c r="H31" s="53" t="n"/>
      <c r="I31" s="453" t="n"/>
      <c r="J31" s="455" t="n"/>
      <c r="K31" s="451" t="n"/>
      <c r="L31" s="451" t="n"/>
      <c r="M31" s="448">
        <f>SUM(K31:L31)</f>
        <v/>
      </c>
      <c r="N31" s="437" t="n"/>
    </row>
    <row r="32">
      <c r="A32" s="51" t="n"/>
      <c r="B32" s="62" t="n"/>
      <c r="C32" s="53" t="n"/>
      <c r="D32" s="456" t="n"/>
      <c r="E32" s="10" t="n"/>
      <c r="F32" s="61" t="n"/>
      <c r="G32" s="61" t="n"/>
      <c r="H32" s="10" t="n"/>
      <c r="I32" s="461" t="n"/>
      <c r="J32" s="458" t="n"/>
      <c r="K32" s="459" t="n"/>
      <c r="L32" s="459" t="n"/>
      <c r="M32" s="448">
        <f>SUM(K32:L32)</f>
        <v/>
      </c>
      <c r="N32" s="437" t="n"/>
    </row>
    <row r="33">
      <c r="A33" s="14" t="n"/>
      <c r="B33" s="15" t="n"/>
      <c r="C33" s="10" t="n"/>
      <c r="D33" s="425" t="n"/>
      <c r="E33" s="10" t="n"/>
      <c r="F33" s="61" t="n"/>
      <c r="G33" s="61" t="n"/>
      <c r="H33" s="10" t="n"/>
      <c r="I33" s="461" t="n"/>
      <c r="J33" s="458" t="n"/>
      <c r="K33" s="459" t="n"/>
      <c r="L33" s="459" t="n"/>
      <c r="M33" s="448">
        <f>SUM(K33:L33)</f>
        <v/>
      </c>
      <c r="N33" s="437" t="n"/>
    </row>
    <row r="34">
      <c r="A34" s="14" t="n"/>
      <c r="B34" s="15" t="n"/>
      <c r="C34" s="10" t="n"/>
      <c r="D34" s="460" t="n"/>
      <c r="E34" s="10" t="n"/>
      <c r="F34" s="61" t="n"/>
      <c r="G34" s="61" t="n"/>
      <c r="H34" s="10" t="n"/>
      <c r="I34" s="461" t="n"/>
      <c r="J34" s="458" t="n"/>
      <c r="K34" s="459" t="n"/>
      <c r="L34" s="459" t="n"/>
      <c r="M34" s="448">
        <f>SUM(K34:L34)</f>
        <v/>
      </c>
      <c r="N34" s="437" t="n"/>
    </row>
    <row r="35">
      <c r="A35" s="14" t="n"/>
      <c r="B35" s="15" t="n"/>
      <c r="C35" s="10" t="n"/>
      <c r="D35" s="460" t="n"/>
      <c r="E35" s="10" t="n"/>
      <c r="F35" s="61" t="n"/>
      <c r="G35" s="61" t="n"/>
      <c r="H35" s="10" t="n"/>
      <c r="I35" s="461" t="n"/>
      <c r="J35" s="458" t="n"/>
      <c r="K35" s="459" t="n"/>
      <c r="L35" s="459" t="n"/>
      <c r="M35" s="448">
        <f>SUM(K35:L35)</f>
        <v/>
      </c>
      <c r="N35" s="437" t="n"/>
    </row>
    <row r="36">
      <c r="A36" s="14" t="n"/>
      <c r="B36" s="15" t="n"/>
      <c r="C36" s="10" t="n"/>
      <c r="D36" s="425" t="n"/>
      <c r="E36" s="10" t="n"/>
      <c r="F36" s="61" t="n"/>
      <c r="G36" s="61" t="n"/>
      <c r="H36" s="10" t="n"/>
      <c r="I36" s="461" t="n"/>
      <c r="J36" s="458" t="n"/>
      <c r="K36" s="459" t="n"/>
      <c r="L36" s="459" t="n"/>
      <c r="M36" s="448">
        <f>SUM(K36:L36)</f>
        <v/>
      </c>
      <c r="N36" s="437" t="n"/>
    </row>
    <row r="37">
      <c r="A37" s="17" t="n"/>
      <c r="B37" s="18" t="n"/>
      <c r="C37" s="10" t="n"/>
      <c r="D37" s="452" t="n"/>
      <c r="E37" s="10" t="n"/>
      <c r="F37" s="61" t="n"/>
      <c r="G37" s="61" t="n"/>
      <c r="H37" s="10" t="n"/>
      <c r="I37" s="461" t="n"/>
      <c r="J37" s="458" t="n"/>
      <c r="K37" s="459" t="n"/>
      <c r="L37" s="459" t="n"/>
      <c r="M37" s="448">
        <f>SUM(K37:L37)</f>
        <v/>
      </c>
      <c r="N37" s="437" t="n"/>
    </row>
    <row r="38">
      <c r="A38" s="17" t="n"/>
      <c r="B38" s="18" t="n"/>
      <c r="C38" s="10" t="n"/>
      <c r="D38" s="452" t="n"/>
      <c r="E38" s="10" t="n"/>
      <c r="F38" s="61" t="n"/>
      <c r="G38" s="61" t="n"/>
      <c r="H38" s="10" t="n"/>
      <c r="I38" s="461" t="n"/>
      <c r="J38" s="458" t="n"/>
      <c r="K38" s="459" t="n"/>
      <c r="L38" s="459" t="n"/>
      <c r="M38" s="448">
        <f>SUM(K38:L38)</f>
        <v/>
      </c>
      <c r="N38" s="437" t="n"/>
    </row>
    <row r="39">
      <c r="A39" s="17" t="n"/>
      <c r="B39" s="18" t="n"/>
      <c r="C39" s="10" t="n"/>
      <c r="D39" s="452" t="n"/>
      <c r="E39" s="10" t="n"/>
      <c r="F39" s="61" t="n"/>
      <c r="G39" s="61" t="n"/>
      <c r="H39" s="10" t="n"/>
      <c r="I39" s="461" t="n"/>
      <c r="J39" s="458" t="n"/>
      <c r="K39" s="459" t="n"/>
      <c r="L39" s="459" t="n"/>
      <c r="M39" s="448">
        <f>SUM(K39:L39)</f>
        <v/>
      </c>
      <c r="N39" s="437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9" t="n"/>
      <c r="K40" s="470" t="n"/>
      <c r="L40" s="470" t="n"/>
      <c r="M40" s="472">
        <f>SUM(M2:M39)</f>
        <v/>
      </c>
      <c r="N40" s="472">
        <f>SUM(N2:N39)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9" t="n"/>
      <c r="K41" s="470" t="n"/>
      <c r="L41" s="470" t="n"/>
      <c r="M41" s="473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9" t="n"/>
      <c r="K42" s="470" t="n"/>
      <c r="L42" s="47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34"/>
  <sheetViews>
    <sheetView topLeftCell="A9" zoomScale="73" zoomScaleNormal="73" workbookViewId="0">
      <selection activeCell="J24" sqref="J24"/>
    </sheetView>
  </sheetViews>
  <sheetFormatPr baseColWidth="8" defaultColWidth="8.75" defaultRowHeight="15"/>
  <cols>
    <col width="9" customWidth="1" style="29" min="1" max="1"/>
    <col width="56" customWidth="1" min="3" max="3"/>
    <col width="32.375" customWidth="1" min="4" max="4"/>
    <col width="12" customWidth="1" min="5" max="5"/>
    <col width="9" bestFit="1" customWidth="1" min="6" max="7"/>
    <col width="11.5" bestFit="1" customWidth="1" min="8" max="8"/>
    <col width="9.5" customWidth="1" min="9" max="9"/>
    <col width="38.5" customWidth="1" style="423" min="10" max="10"/>
    <col width="9" bestFit="1" customWidth="1" style="424" min="11" max="12"/>
    <col width="15.125" customWidth="1" style="424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5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8" customFormat="1" customHeight="1" s="112">
      <c r="A2" s="188" t="inlineStr">
        <is>
          <t>546427</t>
        </is>
      </c>
      <c r="B2" s="189" t="n">
        <v>0.02083333333333333</v>
      </c>
      <c r="C2" s="190" t="inlineStr">
        <is>
          <t>TST &gt; AP</t>
        </is>
      </c>
      <c r="D2" s="440" t="inlineStr">
        <is>
          <t>Abble RN377 9551 4488</t>
        </is>
      </c>
      <c r="E2" s="511" t="inlineStr">
        <is>
          <t>Done</t>
        </is>
      </c>
      <c r="F2" s="191" t="n">
        <v>0.02083333333333333</v>
      </c>
      <c r="G2" s="191" t="n">
        <v>0.03819444444444445</v>
      </c>
      <c r="H2" s="511" t="n"/>
      <c r="I2" s="519" t="n"/>
      <c r="J2" s="507" t="inlineStr">
        <is>
          <t>OT $60</t>
        </is>
      </c>
      <c r="K2" s="443" t="n">
        <v>60</v>
      </c>
      <c r="L2" s="444" t="n">
        <v>400</v>
      </c>
      <c r="M2" s="437">
        <f>SUM(K2:L2)</f>
        <v/>
      </c>
      <c r="N2" s="437" t="n">
        <v>30</v>
      </c>
    </row>
    <row r="3" ht="18" customFormat="1" customHeight="1" s="112">
      <c r="A3" s="300" t="inlineStr">
        <is>
          <t>546429</t>
        </is>
      </c>
      <c r="B3" s="139" t="n">
        <v>0.08333333333333333</v>
      </c>
      <c r="C3" s="140" t="inlineStr">
        <is>
          <t>TST &gt; AP</t>
        </is>
      </c>
      <c r="D3" s="514" t="inlineStr">
        <is>
          <t>Eva TZ9800 9706 2468</t>
        </is>
      </c>
      <c r="E3" s="141" t="inlineStr">
        <is>
          <t>Done</t>
        </is>
      </c>
      <c r="F3" s="142" t="n">
        <v>0.08125</v>
      </c>
      <c r="G3" s="142" t="n">
        <v>0.1</v>
      </c>
      <c r="H3" s="141" t="n"/>
      <c r="I3" s="520" t="n"/>
      <c r="J3" s="513" t="inlineStr">
        <is>
          <t>OT $60</t>
        </is>
      </c>
      <c r="K3" s="521" t="n">
        <v>60</v>
      </c>
      <c r="L3" s="522" t="n">
        <v>400</v>
      </c>
      <c r="M3" s="448">
        <f>SUM(K3:L3)</f>
        <v/>
      </c>
      <c r="N3" s="437" t="n">
        <v>30</v>
      </c>
    </row>
    <row r="4" ht="18" customFormat="1" customHeight="1" s="112">
      <c r="A4" s="300" t="inlineStr">
        <is>
          <t>546428</t>
        </is>
      </c>
      <c r="B4" s="139" t="n">
        <v>0.05555555555555555</v>
      </c>
      <c r="C4" s="140" t="inlineStr">
        <is>
          <t>MB779 &gt; TST</t>
        </is>
      </c>
      <c r="D4" s="101" t="inlineStr">
        <is>
          <t>Abble RN377 9551 4488</t>
        </is>
      </c>
      <c r="E4" s="141" t="inlineStr">
        <is>
          <t>Done</t>
        </is>
      </c>
      <c r="F4" s="142" t="n">
        <v>0.08333333333333333</v>
      </c>
      <c r="G4" s="142" t="n">
        <v>0.1027777777777778</v>
      </c>
      <c r="H4" s="141" t="n"/>
      <c r="I4" s="520" t="n"/>
      <c r="J4" s="513" t="inlineStr">
        <is>
          <t>P$35, OT $60</t>
        </is>
      </c>
      <c r="K4" s="521" t="n">
        <v>95</v>
      </c>
      <c r="L4" s="522" t="n">
        <v>400</v>
      </c>
      <c r="M4" s="448">
        <f>SUM(K4:L4)</f>
        <v/>
      </c>
      <c r="N4" s="437" t="n">
        <v>30</v>
      </c>
    </row>
    <row r="5" ht="18" customFormat="1" customHeight="1" s="112">
      <c r="A5" s="300" t="inlineStr">
        <is>
          <t>546428</t>
        </is>
      </c>
      <c r="B5" s="139" t="n">
        <v>0.05555555555555555</v>
      </c>
      <c r="C5" s="140" t="inlineStr">
        <is>
          <t>MB779 &gt; TST</t>
        </is>
      </c>
      <c r="D5" s="101" t="inlineStr">
        <is>
          <t>Ricky ZK6071 51089715</t>
        </is>
      </c>
      <c r="E5" s="141" t="inlineStr">
        <is>
          <t>Done</t>
        </is>
      </c>
      <c r="F5" s="142" t="n">
        <v>0.08333333333333333</v>
      </c>
      <c r="G5" s="142" t="n">
        <v>0.1027777777777778</v>
      </c>
      <c r="H5" s="141" t="n"/>
      <c r="I5" s="520" t="n"/>
      <c r="J5" s="513" t="inlineStr">
        <is>
          <t>P$35, OT $60</t>
        </is>
      </c>
      <c r="K5" s="521" t="n">
        <v>95</v>
      </c>
      <c r="L5" s="522" t="n">
        <v>400</v>
      </c>
      <c r="M5" s="448">
        <f>SUM(K5:L5)</f>
        <v/>
      </c>
      <c r="N5" s="437" t="n">
        <v>30</v>
      </c>
    </row>
    <row r="6" ht="18" customFormat="1" customHeight="1" s="112">
      <c r="A6" s="196" t="inlineStr">
        <is>
          <t>545933</t>
        </is>
      </c>
      <c r="B6" s="197" t="n">
        <v>0.08680555555555555</v>
      </c>
      <c r="C6" s="149" t="inlineStr">
        <is>
          <t>QY538 &gt; Cordis</t>
        </is>
      </c>
      <c r="D6" s="93" t="inlineStr">
        <is>
          <t>Eva TZ9800 9706 2468</t>
        </is>
      </c>
      <c r="E6" s="39" t="inlineStr">
        <is>
          <t>Done</t>
        </is>
      </c>
      <c r="F6" s="40" t="n">
        <v>0.125</v>
      </c>
      <c r="G6" s="40" t="n">
        <v>0.1423611111111111</v>
      </c>
      <c r="H6" s="449" t="n"/>
      <c r="I6" s="438" t="n"/>
      <c r="J6" s="441" t="inlineStr">
        <is>
          <t>P $35 ， OT $60</t>
        </is>
      </c>
      <c r="K6" s="437" t="n">
        <v>95</v>
      </c>
      <c r="L6" s="436" t="n">
        <v>400</v>
      </c>
      <c r="M6" s="437">
        <f>SUM(K6:L6)</f>
        <v/>
      </c>
      <c r="N6" s="437" t="n">
        <v>30</v>
      </c>
    </row>
    <row r="7" ht="18" customFormat="1" customHeight="1" s="112">
      <c r="A7" s="45" t="inlineStr">
        <is>
          <t>545945</t>
        </is>
      </c>
      <c r="B7" s="46" t="n">
        <v>0.2083333333333333</v>
      </c>
      <c r="C7" s="39" t="inlineStr">
        <is>
          <t>Cordis &gt; AP</t>
        </is>
      </c>
      <c r="D7" s="101" t="inlineStr">
        <is>
          <t>Ricky ZK6071 51089715</t>
        </is>
      </c>
      <c r="E7" s="103" t="inlineStr">
        <is>
          <t>Done</t>
        </is>
      </c>
      <c r="F7" s="40" t="n">
        <v>0.2097222222222222</v>
      </c>
      <c r="G7" s="40" t="n">
        <v>0.2291666666666667</v>
      </c>
      <c r="H7" s="39" t="n"/>
      <c r="I7" s="438" t="n"/>
      <c r="J7" s="441" t="inlineStr">
        <is>
          <t>Ot$60</t>
        </is>
      </c>
      <c r="K7" s="437" t="n">
        <v>60</v>
      </c>
      <c r="L7" s="436" t="n">
        <v>400</v>
      </c>
      <c r="M7" s="437">
        <f>SUM(K7:L7)</f>
        <v/>
      </c>
      <c r="N7" s="437" t="n">
        <v>30</v>
      </c>
    </row>
    <row r="8" ht="18" customFormat="1" customHeight="1" s="112">
      <c r="A8" s="45" t="inlineStr">
        <is>
          <t>545947</t>
        </is>
      </c>
      <c r="B8" s="46" t="n">
        <v>0.5520833333333334</v>
      </c>
      <c r="C8" s="39" t="inlineStr">
        <is>
          <t>Cordis &gt; AP</t>
        </is>
      </c>
      <c r="D8" s="101" t="inlineStr">
        <is>
          <t>Bob NH4116 95592345</t>
        </is>
      </c>
      <c r="E8" s="39" t="inlineStr">
        <is>
          <t>Done</t>
        </is>
      </c>
      <c r="F8" s="40" t="n">
        <v>0.5451388888888888</v>
      </c>
      <c r="G8" s="40" t="n">
        <v>0.5736111111111111</v>
      </c>
      <c r="H8" s="449" t="n"/>
      <c r="I8" s="438" t="n"/>
      <c r="J8" s="441" t="n"/>
      <c r="K8" s="437" t="n"/>
      <c r="L8" s="436" t="n">
        <v>400</v>
      </c>
      <c r="M8" s="437">
        <f>SUM(K8:L8)</f>
        <v/>
      </c>
      <c r="N8" s="437" t="n">
        <v>30</v>
      </c>
    </row>
    <row r="9" ht="18" customFormat="1" customHeight="1" s="112">
      <c r="A9" s="45" t="inlineStr">
        <is>
          <t>545947</t>
        </is>
      </c>
      <c r="B9" s="46" t="n">
        <v>0.5520833333333334</v>
      </c>
      <c r="C9" s="39" t="inlineStr">
        <is>
          <t>Cordis &gt; AP</t>
        </is>
      </c>
      <c r="D9" s="101" t="inlineStr">
        <is>
          <t>Fung WH9918 98036203</t>
        </is>
      </c>
      <c r="E9" s="39" t="inlineStr">
        <is>
          <t>Done</t>
        </is>
      </c>
      <c r="F9" s="40" t="n">
        <v>0.5451388888888888</v>
      </c>
      <c r="G9" s="40" t="n">
        <v>0.5736111111111111</v>
      </c>
      <c r="H9" s="449" t="n"/>
      <c r="I9" s="438" t="n"/>
      <c r="J9" s="441" t="n"/>
      <c r="K9" s="437" t="n"/>
      <c r="L9" s="436" t="n">
        <v>400</v>
      </c>
      <c r="M9" s="437">
        <f>SUM(K9:L9)</f>
        <v/>
      </c>
      <c r="N9" s="437" t="n">
        <v>30</v>
      </c>
    </row>
    <row r="10" ht="18" customHeight="1">
      <c r="A10" s="45" t="inlineStr">
        <is>
          <t>546620</t>
        </is>
      </c>
      <c r="B10" s="48" t="n">
        <v>0.5486111111111112</v>
      </c>
      <c r="C10" s="39" t="inlineStr">
        <is>
          <t>3V401 &gt; Cordis</t>
        </is>
      </c>
      <c r="D10" s="440" t="inlineStr">
        <is>
          <t>Stanley LJ9800 9828 6100</t>
        </is>
      </c>
      <c r="E10" s="39" t="inlineStr">
        <is>
          <t>Done</t>
        </is>
      </c>
      <c r="F10" s="40" t="n">
        <v>0.5694444444444444</v>
      </c>
      <c r="G10" s="40" t="n">
        <v>0.5902777777777778</v>
      </c>
      <c r="H10" s="449" t="n"/>
      <c r="I10" s="438" t="n"/>
      <c r="J10" s="441" t="inlineStr">
        <is>
          <t>P $35</t>
        </is>
      </c>
      <c r="K10" s="437" t="n">
        <v>35</v>
      </c>
      <c r="L10" s="436" t="n">
        <v>400</v>
      </c>
      <c r="M10" s="437">
        <f>SUM(K10:L10)</f>
        <v/>
      </c>
      <c r="N10" s="437" t="n">
        <v>30</v>
      </c>
    </row>
    <row r="11" ht="18" customHeight="1">
      <c r="A11" s="316" t="inlineStr">
        <is>
          <t>546620</t>
        </is>
      </c>
      <c r="B11" s="168" t="n">
        <v>0.5486111111111112</v>
      </c>
      <c r="C11" s="165" t="inlineStr">
        <is>
          <t>3V401 &gt; Cordis</t>
        </is>
      </c>
      <c r="D11" s="487" t="inlineStr">
        <is>
          <t>Stanley LJ9800 9828 6100</t>
        </is>
      </c>
      <c r="E11" s="165" t="inlineStr">
        <is>
          <t>Done</t>
        </is>
      </c>
      <c r="F11" s="166" t="n">
        <v>0.5694444444444444</v>
      </c>
      <c r="G11" s="166" t="n">
        <v>0.5902777777777778</v>
      </c>
      <c r="H11" s="495" t="n"/>
      <c r="I11" s="446" t="n"/>
      <c r="J11" s="485" t="inlineStr">
        <is>
          <t>P $35</t>
        </is>
      </c>
      <c r="K11" s="448" t="n">
        <v>35</v>
      </c>
      <c r="L11" s="477" t="n">
        <v>400</v>
      </c>
      <c r="M11" s="448">
        <f>SUM(K11:L11)</f>
        <v/>
      </c>
      <c r="N11" s="448" t="n">
        <v>30</v>
      </c>
    </row>
    <row r="12" ht="18" customHeight="1">
      <c r="A12" s="45" t="inlineStr">
        <is>
          <t>546538</t>
        </is>
      </c>
      <c r="B12" s="48" t="n">
        <v>0.9166666666666666</v>
      </c>
      <c r="C12" s="39" t="inlineStr">
        <is>
          <t>TST &gt; AP</t>
        </is>
      </c>
      <c r="D12" s="101" t="inlineStr">
        <is>
          <t>Eva TZ9800 9706 2468</t>
        </is>
      </c>
      <c r="E12" s="39" t="inlineStr">
        <is>
          <t>Done</t>
        </is>
      </c>
      <c r="F12" s="40" t="n">
        <v>0.9194444444444444</v>
      </c>
      <c r="G12" s="40" t="n">
        <v>0.9416666666666667</v>
      </c>
      <c r="H12" s="39" t="n"/>
      <c r="I12" s="438" t="n"/>
      <c r="J12" s="441" t="n"/>
      <c r="K12" s="437" t="n"/>
      <c r="L12" s="436" t="n"/>
      <c r="M12" s="437" t="n">
        <v>400</v>
      </c>
      <c r="N12" s="437" t="n">
        <v>30</v>
      </c>
    </row>
    <row r="13" ht="18" customHeight="1">
      <c r="A13" s="45" t="inlineStr">
        <is>
          <t>546540</t>
        </is>
      </c>
      <c r="B13" s="48" t="n">
        <v>0.9375</v>
      </c>
      <c r="C13" s="39" t="inlineStr">
        <is>
          <t>MB507 &gt; TST</t>
        </is>
      </c>
      <c r="D13" s="48" t="inlineStr">
        <is>
          <t>Eva TZ9800 9706 2468</t>
        </is>
      </c>
      <c r="E13" s="39" t="inlineStr">
        <is>
          <t>Done</t>
        </is>
      </c>
      <c r="F13" s="40" t="n">
        <v>0.9722222222222222</v>
      </c>
      <c r="G13" s="40" t="n">
        <v>0.9944444444444445</v>
      </c>
      <c r="H13" s="39" t="n"/>
      <c r="I13" s="438" t="n"/>
      <c r="J13" s="441" t="inlineStr">
        <is>
          <t>Ot$60/p)35</t>
        </is>
      </c>
      <c r="K13" s="437" t="n">
        <v>95</v>
      </c>
      <c r="L13" s="436" t="n">
        <v>400</v>
      </c>
      <c r="M13" s="437">
        <f>SUM(K13:L13)</f>
        <v/>
      </c>
      <c r="N13" s="437" t="n">
        <v>30</v>
      </c>
    </row>
    <row r="14" ht="18" customHeight="1">
      <c r="A14" s="45" t="inlineStr">
        <is>
          <t>546540</t>
        </is>
      </c>
      <c r="B14" s="48" t="n">
        <v>0.9375</v>
      </c>
      <c r="C14" s="39" t="inlineStr">
        <is>
          <t>MB507 &gt; TST</t>
        </is>
      </c>
      <c r="D14" s="48" t="inlineStr">
        <is>
          <t>Ivan TG1211 9277 4562</t>
        </is>
      </c>
      <c r="E14" s="39" t="inlineStr">
        <is>
          <t>Done</t>
        </is>
      </c>
      <c r="F14" s="40" t="n">
        <v>0.9722222222222222</v>
      </c>
      <c r="G14" s="40" t="n">
        <v>0.9944444444444445</v>
      </c>
      <c r="H14" s="39" t="n"/>
      <c r="I14" s="438" t="n"/>
      <c r="J14" s="441" t="inlineStr">
        <is>
          <t>Ot$60/p)35</t>
        </is>
      </c>
      <c r="K14" s="437" t="n">
        <v>95</v>
      </c>
      <c r="L14" s="436" t="n">
        <v>400</v>
      </c>
      <c r="M14" s="437">
        <f>SUM(K14:L14)</f>
        <v/>
      </c>
      <c r="N14" s="437" t="n">
        <v>30</v>
      </c>
    </row>
    <row r="15" ht="18" customFormat="1" customHeight="1" s="112">
      <c r="A15" s="300" t="inlineStr">
        <is>
          <t>546541</t>
        </is>
      </c>
      <c r="B15" s="139" t="n">
        <v>0.9791666666666666</v>
      </c>
      <c r="C15" s="140" t="inlineStr">
        <is>
          <t>TST &gt; AP</t>
        </is>
      </c>
      <c r="D15" s="167" t="n"/>
      <c r="E15" s="141" t="n"/>
      <c r="F15" s="142" t="n"/>
      <c r="G15" s="142" t="n"/>
      <c r="H15" s="141" t="n"/>
      <c r="I15" s="520" t="n"/>
      <c r="J15" s="513" t="n"/>
      <c r="K15" s="521" t="n"/>
      <c r="L15" s="522" t="n"/>
      <c r="M15" s="448">
        <f>SUM(K15:L15)</f>
        <v/>
      </c>
      <c r="N15" s="437" t="n"/>
    </row>
    <row r="16">
      <c r="A16" s="1" t="n"/>
      <c r="B16" s="8" t="n"/>
      <c r="C16" s="53" t="n"/>
      <c r="D16" s="425" t="n"/>
      <c r="E16" s="53" t="n"/>
      <c r="F16" s="61" t="n"/>
      <c r="G16" s="61" t="n"/>
      <c r="H16" s="53" t="n"/>
      <c r="I16" s="453" t="n"/>
      <c r="J16" s="455" t="n"/>
      <c r="K16" s="451" t="n"/>
      <c r="L16" s="451" t="n"/>
      <c r="M16" s="448">
        <f>SUM(K16:L16)</f>
        <v/>
      </c>
      <c r="N16" s="437" t="n"/>
    </row>
    <row r="17">
      <c r="A17" s="51" t="n"/>
      <c r="B17" s="62" t="n"/>
      <c r="C17" s="53" t="n"/>
      <c r="D17" s="425" t="n"/>
      <c r="E17" s="53" t="n"/>
      <c r="F17" s="61" t="n"/>
      <c r="G17" s="61" t="n"/>
      <c r="H17" s="53" t="n"/>
      <c r="I17" s="453" t="n"/>
      <c r="J17" s="455" t="n"/>
      <c r="K17" s="451" t="n"/>
      <c r="L17" s="451" t="n"/>
      <c r="M17" s="448">
        <f>SUM(K17:L17)</f>
        <v/>
      </c>
      <c r="N17" s="437" t="n"/>
    </row>
    <row r="18">
      <c r="A18" s="51" t="n"/>
      <c r="B18" s="62" t="n"/>
      <c r="C18" s="53" t="n"/>
      <c r="D18" s="425" t="n"/>
      <c r="E18" s="53" t="n"/>
      <c r="F18" s="61" t="n"/>
      <c r="G18" s="61" t="n"/>
      <c r="H18" s="53" t="n"/>
      <c r="I18" s="453" t="n"/>
      <c r="J18" s="455" t="n"/>
      <c r="K18" s="451" t="n"/>
      <c r="L18" s="451" t="n"/>
      <c r="M18" s="448">
        <f>SUM(K18:L18)</f>
        <v/>
      </c>
      <c r="N18" s="437" t="n"/>
    </row>
    <row r="19">
      <c r="A19" s="51" t="n"/>
      <c r="B19" s="62" t="n"/>
      <c r="C19" s="53" t="n"/>
      <c r="D19" s="425" t="n"/>
      <c r="E19" s="53" t="n"/>
      <c r="F19" s="61" t="n"/>
      <c r="G19" s="61" t="n"/>
      <c r="H19" s="53" t="n"/>
      <c r="I19" s="453" t="n"/>
      <c r="J19" s="455" t="n"/>
      <c r="K19" s="451" t="n"/>
      <c r="L19" s="451" t="n"/>
      <c r="M19" s="448">
        <f>SUM(K19:L19)</f>
        <v/>
      </c>
      <c r="N19" s="437" t="n"/>
    </row>
    <row r="20">
      <c r="A20" s="51" t="n"/>
      <c r="B20" s="62" t="n"/>
      <c r="C20" s="53" t="n"/>
      <c r="D20" s="425" t="n"/>
      <c r="E20" s="53" t="n"/>
      <c r="F20" s="61" t="n"/>
      <c r="G20" s="61" t="n"/>
      <c r="H20" s="53" t="n"/>
      <c r="I20" s="453" t="n"/>
      <c r="J20" s="455" t="n"/>
      <c r="K20" s="451" t="n"/>
      <c r="L20" s="451" t="n"/>
      <c r="M20" s="448">
        <f>SUM(K20:L20)</f>
        <v/>
      </c>
      <c r="N20" s="437" t="n"/>
    </row>
    <row r="21">
      <c r="A21" s="51" t="n"/>
      <c r="B21" s="62" t="n"/>
      <c r="C21" s="53" t="n"/>
      <c r="D21" s="456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48">
        <f>SUM(K21:L21)</f>
        <v/>
      </c>
      <c r="N21" s="437" t="n"/>
    </row>
    <row r="22">
      <c r="A22" s="51" t="n"/>
      <c r="B22" s="62" t="n"/>
      <c r="C22" s="53" t="n"/>
      <c r="D22" s="53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48">
        <f>SUM(K22:L22)</f>
        <v/>
      </c>
      <c r="N22" s="437" t="n"/>
    </row>
    <row r="23">
      <c r="A23" s="51" t="n"/>
      <c r="B23" s="62" t="n"/>
      <c r="C23" s="53" t="n"/>
      <c r="D23" s="425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48">
        <f>SUM(K23:L23)</f>
        <v/>
      </c>
      <c r="N23" s="437" t="n"/>
    </row>
    <row r="24">
      <c r="A24" s="51" t="n"/>
      <c r="B24" s="62" t="n"/>
      <c r="C24" s="53" t="n"/>
      <c r="D24" s="476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48">
        <f>SUM(K24:L24)</f>
        <v/>
      </c>
      <c r="N24" s="437" t="n"/>
    </row>
    <row r="25">
      <c r="A25" s="51" t="n"/>
      <c r="B25" s="62" t="n"/>
      <c r="C25" s="53" t="n"/>
      <c r="D25" s="425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48">
        <f>SUM(K25:L25)</f>
        <v/>
      </c>
      <c r="N25" s="437" t="n"/>
    </row>
    <row r="26">
      <c r="A26" s="51" t="n"/>
      <c r="B26" s="62" t="n"/>
      <c r="C26" s="53" t="n"/>
      <c r="D26" s="9" t="n"/>
      <c r="E26" s="53" t="n"/>
      <c r="F26" s="61" t="n"/>
      <c r="G26" s="61" t="n"/>
      <c r="H26" s="53" t="n"/>
      <c r="I26" s="453" t="n"/>
      <c r="J26" s="455" t="n"/>
      <c r="K26" s="451" t="n"/>
      <c r="L26" s="451" t="n"/>
      <c r="M26" s="448">
        <f>SUM(K26:L26)</f>
        <v/>
      </c>
      <c r="N26" s="437" t="n"/>
    </row>
    <row r="27">
      <c r="A27" s="51" t="n"/>
      <c r="B27" s="62" t="n"/>
      <c r="C27" s="53" t="n"/>
      <c r="D27" s="425" t="n"/>
      <c r="E27" s="53" t="n"/>
      <c r="F27" s="61" t="n"/>
      <c r="G27" s="61" t="n"/>
      <c r="H27" s="53" t="n"/>
      <c r="I27" s="453" t="n"/>
      <c r="J27" s="455" t="n"/>
      <c r="K27" s="451" t="n"/>
      <c r="L27" s="451" t="n"/>
      <c r="M27" s="448">
        <f>SUM(K27:L27)</f>
        <v/>
      </c>
      <c r="N27" s="437" t="n"/>
    </row>
    <row r="28">
      <c r="A28" s="51" t="n"/>
      <c r="B28" s="62" t="n"/>
      <c r="C28" s="53" t="n"/>
      <c r="D28" s="425" t="n"/>
      <c r="E28" s="53" t="n"/>
      <c r="F28" s="61" t="n"/>
      <c r="G28" s="61" t="n"/>
      <c r="H28" s="53" t="n"/>
      <c r="I28" s="453" t="n"/>
      <c r="J28" s="455" t="n"/>
      <c r="K28" s="451" t="n"/>
      <c r="L28" s="451" t="n"/>
      <c r="M28" s="448">
        <f>SUM(K28:L28)</f>
        <v/>
      </c>
      <c r="N28" s="437" t="n"/>
    </row>
    <row r="29">
      <c r="A29" s="51" t="n"/>
      <c r="B29" s="62" t="n"/>
      <c r="C29" s="53" t="n"/>
      <c r="D29" s="456" t="n"/>
      <c r="E29" s="10" t="n"/>
      <c r="F29" s="61" t="n"/>
      <c r="G29" s="61" t="n"/>
      <c r="H29" s="10" t="n"/>
      <c r="I29" s="461" t="n"/>
      <c r="J29" s="458" t="n"/>
      <c r="K29" s="459" t="n"/>
      <c r="L29" s="459" t="n"/>
      <c r="M29" s="448">
        <f>SUM(K29:L29)</f>
        <v/>
      </c>
      <c r="N29" s="437" t="n"/>
    </row>
    <row r="30">
      <c r="A30" s="14" t="n"/>
      <c r="B30" s="15" t="n"/>
      <c r="C30" s="10" t="n"/>
      <c r="D30" s="425" t="n"/>
      <c r="E30" s="10" t="n"/>
      <c r="F30" s="61" t="n"/>
      <c r="G30" s="61" t="n"/>
      <c r="H30" s="10" t="n"/>
      <c r="I30" s="461" t="n"/>
      <c r="J30" s="458" t="n"/>
      <c r="K30" s="459" t="n"/>
      <c r="L30" s="459" t="n"/>
      <c r="M30" s="448">
        <f>SUM(K30:L30)</f>
        <v/>
      </c>
      <c r="N30" s="437" t="n"/>
    </row>
    <row r="31">
      <c r="A31" s="14" t="n"/>
      <c r="B31" s="15" t="n"/>
      <c r="C31" s="10" t="n"/>
      <c r="D31" s="460" t="n"/>
      <c r="E31" s="10" t="n"/>
      <c r="F31" s="61" t="n"/>
      <c r="G31" s="61" t="n"/>
      <c r="H31" s="10" t="n"/>
      <c r="I31" s="461" t="n"/>
      <c r="J31" s="458" t="n"/>
      <c r="K31" s="459" t="n"/>
      <c r="L31" s="459" t="n"/>
      <c r="M31" s="448">
        <f>SUM(K31:L31)</f>
        <v/>
      </c>
      <c r="N31" s="437" t="n"/>
    </row>
    <row r="32">
      <c r="A32" s="14" t="n"/>
      <c r="B32" s="15" t="n"/>
      <c r="C32" s="10" t="n"/>
      <c r="D32" s="460" t="n"/>
      <c r="E32" s="10" t="n"/>
      <c r="F32" s="61" t="n"/>
      <c r="G32" s="61" t="n"/>
      <c r="H32" s="10" t="n"/>
      <c r="I32" s="461" t="n"/>
      <c r="J32" s="458" t="n"/>
      <c r="K32" s="459" t="n"/>
      <c r="L32" s="459" t="n"/>
      <c r="M32" s="448">
        <f>SUM(K32:L32)</f>
        <v/>
      </c>
      <c r="N32" s="437" t="n"/>
    </row>
    <row r="33">
      <c r="A33" s="14" t="n"/>
      <c r="B33" s="15" t="n"/>
      <c r="C33" s="10" t="n"/>
      <c r="D33" s="425" t="n"/>
      <c r="E33" s="10" t="n"/>
      <c r="F33" s="61" t="n"/>
      <c r="G33" s="61" t="n"/>
      <c r="H33" s="10" t="n"/>
      <c r="I33" s="461" t="n"/>
      <c r="J33" s="458" t="n"/>
      <c r="K33" s="459" t="n"/>
      <c r="L33" s="459" t="n"/>
      <c r="M33" s="448">
        <f>SUM(K33:L33)</f>
        <v/>
      </c>
      <c r="N33" s="437" t="n"/>
    </row>
    <row r="34">
      <c r="A34" s="17" t="n"/>
      <c r="B34" s="18" t="n"/>
      <c r="C34" s="10" t="n"/>
      <c r="D34" s="452" t="n"/>
      <c r="E34" s="10" t="n"/>
      <c r="F34" s="61" t="n"/>
      <c r="G34" s="61" t="n"/>
      <c r="H34" s="10" t="n"/>
      <c r="I34" s="461" t="n"/>
      <c r="J34" s="458" t="n"/>
      <c r="K34" s="459" t="n"/>
      <c r="L34" s="459" t="n"/>
      <c r="M34" s="448">
        <f>SUM(K34:L34)</f>
        <v/>
      </c>
      <c r="N34" s="437" t="n"/>
    </row>
    <row r="35">
      <c r="A35" s="17" t="n"/>
      <c r="B35" s="18" t="n"/>
      <c r="C35" s="10" t="n"/>
      <c r="D35" s="452" t="n"/>
      <c r="E35" s="10" t="n"/>
      <c r="F35" s="61" t="n"/>
      <c r="G35" s="61" t="n"/>
      <c r="H35" s="10" t="n"/>
      <c r="I35" s="461" t="n"/>
      <c r="J35" s="458" t="n"/>
      <c r="K35" s="459" t="n"/>
      <c r="L35" s="459" t="n"/>
      <c r="M35" s="448">
        <f>SUM(K35:L35)</f>
        <v/>
      </c>
      <c r="N35" s="437" t="n"/>
    </row>
    <row r="36">
      <c r="A36" s="17" t="n"/>
      <c r="B36" s="18" t="n"/>
      <c r="C36" s="10" t="n"/>
      <c r="D36" s="452" t="n"/>
      <c r="E36" s="10" t="n"/>
      <c r="F36" s="61" t="n"/>
      <c r="G36" s="61" t="n"/>
      <c r="H36" s="10" t="n"/>
      <c r="I36" s="461" t="n"/>
      <c r="J36" s="458" t="n"/>
      <c r="K36" s="459" t="n"/>
      <c r="L36" s="459" t="n"/>
      <c r="M36" s="448">
        <f>SUM(K36:L36)</f>
        <v/>
      </c>
      <c r="N36" s="437" t="n"/>
    </row>
    <row r="37">
      <c r="A37" s="14" t="n"/>
      <c r="B37" s="15" t="n"/>
      <c r="C37" s="10" t="n"/>
      <c r="D37" s="476" t="n"/>
      <c r="E37" s="10" t="n"/>
      <c r="F37" s="61" t="n"/>
      <c r="G37" s="61" t="n"/>
      <c r="H37" s="10" t="n"/>
      <c r="I37" s="461" t="n"/>
      <c r="J37" s="458" t="n"/>
      <c r="K37" s="459" t="n"/>
      <c r="L37" s="459" t="n"/>
      <c r="M37" s="448">
        <f>SUM(K37:L37)</f>
        <v/>
      </c>
      <c r="N37" s="437" t="n"/>
    </row>
    <row r="38">
      <c r="A38" s="14" t="n"/>
      <c r="B38" s="15" t="n"/>
      <c r="C38" s="53" t="n"/>
      <c r="D38" s="476" t="n"/>
      <c r="E38" s="53" t="n"/>
      <c r="F38" s="62" t="n"/>
      <c r="G38" s="62" t="n"/>
      <c r="H38" s="53" t="n"/>
      <c r="I38" s="453" t="n"/>
      <c r="J38" s="455" t="n"/>
      <c r="K38" s="451" t="n"/>
      <c r="L38" s="451" t="n"/>
      <c r="M38" s="448">
        <f>SUM(K38:L38)</f>
        <v/>
      </c>
      <c r="N38" s="437" t="n"/>
    </row>
    <row r="39">
      <c r="A39" s="20" t="n"/>
      <c r="B39" s="21" t="n"/>
      <c r="C39" s="22" t="n"/>
      <c r="D39" s="21" t="n"/>
      <c r="E39" s="21" t="n"/>
      <c r="F39" s="21" t="n"/>
      <c r="G39" s="21" t="n"/>
      <c r="H39" s="21" t="n"/>
      <c r="I39" s="465" t="n"/>
      <c r="J39" s="469" t="n"/>
      <c r="K39" s="470" t="n"/>
      <c r="L39" s="470" t="n"/>
      <c r="M39" s="470" t="n"/>
      <c r="N39" s="437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9" t="n"/>
      <c r="K40" s="470" t="n"/>
      <c r="L40" s="470" t="n"/>
      <c r="M40" s="472">
        <f>SUM(M2:M39)</f>
        <v/>
      </c>
      <c r="N40" s="472">
        <f>SUM(N2:N39)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9" t="n"/>
      <c r="K41" s="470" t="n"/>
      <c r="L41" s="470" t="n"/>
      <c r="M41" s="473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9" t="n"/>
      <c r="K42" s="470" t="n"/>
      <c r="L42" s="47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42"/>
  <sheetViews>
    <sheetView tabSelected="1" zoomScale="73" zoomScaleNormal="73" workbookViewId="0">
      <selection activeCell="A7" sqref="A7"/>
    </sheetView>
  </sheetViews>
  <sheetFormatPr baseColWidth="8" defaultColWidth="8.75" defaultRowHeight="15"/>
  <cols>
    <col width="8.75" customWidth="1" style="29" min="1" max="1"/>
    <col width="56" customWidth="1" min="3" max="3"/>
    <col width="32.375" customWidth="1" min="4" max="4"/>
    <col width="12" customWidth="1" min="5" max="5"/>
    <col width="9" bestFit="1" customWidth="1" min="6" max="7"/>
    <col width="11.5" bestFit="1" customWidth="1" min="8" max="8"/>
    <col width="9.5" customWidth="1" min="9" max="9"/>
    <col width="38.5" customWidth="1" style="423" min="10" max="10"/>
    <col width="9" bestFit="1" customWidth="1" style="424" min="11" max="12"/>
    <col width="15.125" customWidth="1" style="424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5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8" customFormat="1" customHeight="1" s="112">
      <c r="A2" s="188" t="inlineStr">
        <is>
          <t>546544</t>
        </is>
      </c>
      <c r="B2" s="189" t="n">
        <v>0.125</v>
      </c>
      <c r="C2" s="190" t="inlineStr">
        <is>
          <t>TST &gt;AP</t>
        </is>
      </c>
      <c r="D2" s="523" t="inlineStr">
        <is>
          <t>Jacky CT8022 6998 6953</t>
        </is>
      </c>
      <c r="E2" s="511" t="inlineStr">
        <is>
          <t>Done</t>
        </is>
      </c>
      <c r="F2" s="191" t="n">
        <v>0.05555555555555555</v>
      </c>
      <c r="G2" s="191" t="n">
        <v>0.1423611111111111</v>
      </c>
      <c r="H2" s="511" t="n"/>
      <c r="I2" s="519" t="n"/>
      <c r="J2" s="507" t="inlineStr">
        <is>
          <t>OT$60</t>
        </is>
      </c>
      <c r="K2" s="443" t="n">
        <v>60</v>
      </c>
      <c r="L2" s="444" t="n">
        <v>400</v>
      </c>
      <c r="M2" s="437">
        <f>SUM(K2:L2)</f>
        <v/>
      </c>
      <c r="N2" s="437" t="n">
        <v>30</v>
      </c>
    </row>
    <row r="3" ht="18" customFormat="1" customHeight="1" s="112">
      <c r="A3" s="188" t="inlineStr">
        <is>
          <t>546543</t>
        </is>
      </c>
      <c r="B3" s="189" t="n">
        <v>0.1041666666666667</v>
      </c>
      <c r="C3" s="190" t="inlineStr">
        <is>
          <t>MB300 &gt; TST</t>
        </is>
      </c>
      <c r="D3" s="440" t="inlineStr">
        <is>
          <t>Eva TZ9800 97062468</t>
        </is>
      </c>
      <c r="E3" s="511" t="inlineStr">
        <is>
          <t>Done</t>
        </is>
      </c>
      <c r="F3" s="191" t="n">
        <v>0.1201388888888889</v>
      </c>
      <c r="G3" s="191" t="n">
        <v>0.1395833333333333</v>
      </c>
      <c r="H3" s="511" t="n"/>
      <c r="I3" s="519" t="n"/>
      <c r="J3" s="507" t="inlineStr">
        <is>
          <t>OT$60, P$35, BB seat $80</t>
        </is>
      </c>
      <c r="K3" s="443" t="n">
        <v>175</v>
      </c>
      <c r="L3" s="444" t="n">
        <v>400</v>
      </c>
      <c r="M3" s="437">
        <f>SUM(K3:L3)</f>
        <v/>
      </c>
      <c r="N3" s="437" t="n">
        <v>30</v>
      </c>
    </row>
    <row r="4" ht="18" customFormat="1" customHeight="1" s="112">
      <c r="A4" s="365" t="inlineStr">
        <is>
          <t>546543</t>
        </is>
      </c>
      <c r="B4" s="366" t="n">
        <v>0.1041666666666667</v>
      </c>
      <c r="C4" s="170" t="inlineStr">
        <is>
          <t>MB300 &gt; TST</t>
        </is>
      </c>
      <c r="D4" s="487" t="inlineStr">
        <is>
          <t>Stanley LJ9800 98286100</t>
        </is>
      </c>
      <c r="E4" s="516" t="inlineStr">
        <is>
          <t>Done</t>
        </is>
      </c>
      <c r="F4" s="172" t="n">
        <v>0.1201388888888889</v>
      </c>
      <c r="G4" s="172" t="n">
        <v>0.1395833333333333</v>
      </c>
      <c r="H4" s="516" t="n"/>
      <c r="I4" s="517" t="n"/>
      <c r="J4" s="507" t="inlineStr">
        <is>
          <t>OT$60, P$35</t>
        </is>
      </c>
      <c r="K4" s="488" t="n">
        <v>95</v>
      </c>
      <c r="L4" s="489" t="n">
        <v>400</v>
      </c>
      <c r="M4" s="437">
        <f>SUM(K4:L4)</f>
        <v/>
      </c>
      <c r="N4" s="437" t="n">
        <v>30</v>
      </c>
    </row>
    <row r="5" ht="18" customFormat="1" customHeight="1" s="112">
      <c r="A5" s="365" t="inlineStr">
        <is>
          <t>546543</t>
        </is>
      </c>
      <c r="B5" s="366" t="n">
        <v>0.1041666666666667</v>
      </c>
      <c r="C5" s="170" t="inlineStr">
        <is>
          <t>MB300 &gt; TST</t>
        </is>
      </c>
      <c r="D5" s="524" t="inlineStr">
        <is>
          <t>Patrick WW8421 93182082</t>
        </is>
      </c>
      <c r="E5" s="516" t="inlineStr">
        <is>
          <t>Done</t>
        </is>
      </c>
      <c r="F5" s="172" t="n">
        <v>0.1201388888888889</v>
      </c>
      <c r="G5" s="172" t="n">
        <v>0.1395833333333333</v>
      </c>
      <c r="H5" s="516" t="n"/>
      <c r="I5" s="517" t="n"/>
      <c r="J5" s="507" t="inlineStr">
        <is>
          <t>OT$60, P$35</t>
        </is>
      </c>
      <c r="K5" s="488" t="n">
        <v>95</v>
      </c>
      <c r="L5" s="489" t="n">
        <v>400</v>
      </c>
      <c r="M5" s="437">
        <f>SUM(K5:L5)</f>
        <v/>
      </c>
      <c r="N5" s="437" t="n">
        <v>30</v>
      </c>
    </row>
    <row r="6" ht="18" customFormat="1" customHeight="1" s="112">
      <c r="A6" s="196" t="inlineStr">
        <is>
          <t>546120</t>
        </is>
      </c>
      <c r="B6" s="197" t="n">
        <v>0.5173611111111112</v>
      </c>
      <c r="C6" s="149" t="inlineStr">
        <is>
          <t>SQ882 &gt; TST</t>
        </is>
      </c>
      <c r="D6" s="93" t="inlineStr">
        <is>
          <t>Jacky CT8022 6998 6953</t>
        </is>
      </c>
      <c r="E6" s="39" t="inlineStr">
        <is>
          <t>Done</t>
        </is>
      </c>
      <c r="F6" s="40" t="n">
        <v>0.1236111111111111</v>
      </c>
      <c r="G6" s="40" t="n">
        <v>0.1493055555555556</v>
      </c>
      <c r="H6" s="449" t="n"/>
      <c r="I6" s="438" t="n"/>
      <c r="J6" s="441" t="inlineStr">
        <is>
          <t>OT$60</t>
        </is>
      </c>
      <c r="K6" s="437" t="n">
        <v>60</v>
      </c>
      <c r="L6" s="436" t="n">
        <v>400</v>
      </c>
      <c r="M6" s="437">
        <f>SUM(K6:L6)</f>
        <v/>
      </c>
      <c r="N6" s="437" t="n">
        <v>30</v>
      </c>
    </row>
    <row r="7" ht="18" customFormat="1" customHeight="1" s="112">
      <c r="B7" s="46" t="n"/>
      <c r="C7" s="39" t="n"/>
      <c r="D7" s="514" t="n"/>
      <c r="E7" s="103" t="n"/>
      <c r="F7" s="40" t="n"/>
      <c r="G7" s="40" t="n"/>
      <c r="H7" s="39" t="n"/>
      <c r="I7" s="438" t="n"/>
      <c r="J7" s="441" t="n"/>
      <c r="K7" s="437" t="n"/>
      <c r="L7" s="436" t="n"/>
      <c r="M7" s="437">
        <f>SUM(K7:L7)</f>
        <v/>
      </c>
      <c r="N7" s="437" t="n"/>
    </row>
    <row r="8" ht="18" customFormat="1" customHeight="1" s="112">
      <c r="A8" s="45" t="n"/>
      <c r="B8" s="46" t="n"/>
      <c r="C8" s="365" t="n"/>
      <c r="D8" s="366" t="n"/>
      <c r="E8" s="170" t="n"/>
      <c r="F8" s="487" t="n"/>
      <c r="G8" s="516" t="n"/>
      <c r="H8" s="172" t="n"/>
      <c r="I8" s="172" t="n"/>
      <c r="J8" s="516" t="n"/>
      <c r="K8" s="517" t="n"/>
      <c r="L8" s="507" t="n"/>
      <c r="M8" s="488" t="n"/>
      <c r="N8" s="489" t="n"/>
      <c r="O8" s="448" t="n"/>
      <c r="P8" s="448" t="n"/>
    </row>
    <row r="9" ht="18" customFormat="1" customHeight="1" s="112">
      <c r="A9" s="45" t="n"/>
      <c r="B9" s="46" t="n"/>
      <c r="C9" s="39" t="n"/>
      <c r="D9" s="440" t="n"/>
      <c r="E9" s="39" t="n"/>
      <c r="F9" s="40" t="n"/>
      <c r="G9" s="40" t="n"/>
      <c r="H9" s="39" t="n"/>
      <c r="I9" s="438" t="n"/>
      <c r="J9" s="441" t="n"/>
      <c r="K9" s="437" t="n"/>
      <c r="L9" s="436" t="n"/>
      <c r="M9" s="437">
        <f>SUM(K9:L9)</f>
        <v/>
      </c>
      <c r="N9" s="437" t="n"/>
    </row>
    <row r="10" ht="18" customHeight="1">
      <c r="A10" s="45" t="n"/>
      <c r="B10" s="48" t="n"/>
      <c r="C10" s="39" t="n"/>
      <c r="D10" s="167" t="n"/>
      <c r="E10" s="39" t="n"/>
      <c r="F10" s="40" t="n"/>
      <c r="G10" s="40" t="n"/>
      <c r="H10" s="449" t="n"/>
      <c r="I10" s="438" t="n"/>
      <c r="J10" s="441" t="n"/>
      <c r="K10" s="437" t="n"/>
      <c r="L10" s="436" t="n"/>
      <c r="M10" s="437">
        <f>SUM(K10:L10)</f>
        <v/>
      </c>
      <c r="N10" s="437" t="n"/>
    </row>
    <row r="11" ht="18" customHeight="1">
      <c r="A11" s="45" t="n"/>
      <c r="B11" s="48" t="n"/>
      <c r="C11" s="39" t="n"/>
      <c r="D11" s="48" t="n"/>
      <c r="E11" s="39" t="n"/>
      <c r="F11" s="40" t="n"/>
      <c r="G11" s="40" t="n"/>
      <c r="H11" s="39" t="n"/>
      <c r="I11" s="438" t="n"/>
      <c r="J11" s="441" t="n"/>
      <c r="K11" s="437" t="n"/>
      <c r="L11" s="436" t="n"/>
      <c r="M11" s="437">
        <f>SUM(K11:L11)</f>
        <v/>
      </c>
      <c r="N11" s="437" t="n"/>
    </row>
    <row r="12" ht="18" customHeight="1">
      <c r="A12" s="45" t="n"/>
      <c r="B12" s="48" t="n"/>
      <c r="C12" s="39" t="n"/>
      <c r="D12" s="440" t="n"/>
      <c r="E12" s="39" t="n"/>
      <c r="F12" s="40" t="n"/>
      <c r="G12" s="40" t="n"/>
      <c r="H12" s="39" t="n"/>
      <c r="I12" s="438" t="n"/>
      <c r="J12" s="441" t="n"/>
      <c r="K12" s="437" t="n"/>
      <c r="L12" s="436" t="n"/>
      <c r="M12" s="437">
        <f>SUM(K12:L12)</f>
        <v/>
      </c>
      <c r="N12" s="437" t="n"/>
    </row>
    <row r="13" ht="18" customHeight="1">
      <c r="A13" s="45" t="n"/>
      <c r="B13" s="48" t="n"/>
      <c r="C13" s="39" t="n"/>
      <c r="D13" s="48" t="n"/>
      <c r="E13" s="39" t="n"/>
      <c r="F13" s="40" t="n"/>
      <c r="G13" s="40" t="n"/>
      <c r="H13" s="39" t="n"/>
      <c r="I13" s="438" t="n"/>
      <c r="J13" s="441" t="n"/>
      <c r="K13" s="437" t="n"/>
      <c r="L13" s="436" t="n"/>
      <c r="M13" s="437">
        <f>SUM(K13:L13)</f>
        <v/>
      </c>
      <c r="N13" s="437" t="n"/>
    </row>
    <row r="14" ht="14.25" customHeight="1">
      <c r="A14" s="47" t="n"/>
      <c r="B14" s="48" t="n"/>
      <c r="C14" s="39" t="n"/>
      <c r="D14" s="73" t="n"/>
      <c r="E14" s="39" t="n"/>
      <c r="F14" s="40" t="n"/>
      <c r="G14" s="40" t="n"/>
      <c r="H14" s="39" t="n"/>
      <c r="I14" s="438" t="n"/>
      <c r="J14" s="441" t="n"/>
      <c r="K14" s="437" t="n"/>
      <c r="L14" s="436" t="n"/>
      <c r="M14" s="448">
        <f>SUM(K14:L14)</f>
        <v/>
      </c>
      <c r="N14" s="437" t="n"/>
    </row>
    <row r="15" ht="18" customFormat="1" customHeight="1" s="112">
      <c r="A15" s="300" t="n"/>
      <c r="B15" s="139" t="n"/>
      <c r="C15" s="140" t="n"/>
      <c r="D15" s="167" t="n"/>
      <c r="E15" s="141" t="n"/>
      <c r="F15" s="142" t="n"/>
      <c r="G15" s="142" t="n"/>
      <c r="H15" s="141" t="n"/>
      <c r="I15" s="520" t="n"/>
      <c r="J15" s="513" t="n"/>
      <c r="K15" s="521" t="n"/>
      <c r="L15" s="522" t="n"/>
      <c r="M15" s="448">
        <f>SUM(K15:L15)</f>
        <v/>
      </c>
      <c r="N15" s="437" t="n"/>
    </row>
    <row r="16">
      <c r="A16" s="1" t="n"/>
      <c r="B16" s="8" t="n"/>
      <c r="C16" s="53" t="n"/>
      <c r="D16" s="425" t="n"/>
      <c r="E16" s="53" t="n"/>
      <c r="F16" s="61" t="n"/>
      <c r="G16" s="61" t="n"/>
      <c r="H16" s="53" t="n"/>
      <c r="I16" s="453" t="n"/>
      <c r="J16" s="455" t="n"/>
      <c r="K16" s="451" t="n"/>
      <c r="L16" s="451" t="n"/>
      <c r="M16" s="448">
        <f>SUM(K16:L16)</f>
        <v/>
      </c>
      <c r="N16" s="437" t="n"/>
    </row>
    <row r="17">
      <c r="A17" s="51" t="n"/>
      <c r="B17" s="62" t="n"/>
      <c r="C17" s="53" t="n"/>
      <c r="D17" s="425" t="n"/>
      <c r="E17" s="53" t="n"/>
      <c r="F17" s="61" t="n"/>
      <c r="G17" s="61" t="n"/>
      <c r="H17" s="53" t="n"/>
      <c r="I17" s="453" t="n"/>
      <c r="J17" s="455" t="n"/>
      <c r="K17" s="451" t="n"/>
      <c r="L17" s="451" t="n"/>
      <c r="M17" s="448">
        <f>SUM(K17:L17)</f>
        <v/>
      </c>
      <c r="N17" s="437" t="n"/>
    </row>
    <row r="18">
      <c r="A18" s="51" t="n"/>
      <c r="B18" s="62" t="n"/>
      <c r="C18" s="53" t="n"/>
      <c r="D18" s="425" t="n"/>
      <c r="E18" s="53" t="n"/>
      <c r="F18" s="61" t="n"/>
      <c r="G18" s="61" t="n"/>
      <c r="H18" s="53" t="n"/>
      <c r="I18" s="453" t="n"/>
      <c r="J18" s="455" t="n"/>
      <c r="K18" s="451" t="n"/>
      <c r="L18" s="451" t="n"/>
      <c r="M18" s="448">
        <f>SUM(K18:L18)</f>
        <v/>
      </c>
      <c r="N18" s="437" t="n"/>
    </row>
    <row r="19">
      <c r="A19" s="51" t="n"/>
      <c r="B19" s="62" t="n"/>
      <c r="C19" s="53" t="n"/>
      <c r="D19" s="425" t="n"/>
      <c r="E19" s="53" t="n"/>
      <c r="F19" s="61" t="n"/>
      <c r="G19" s="61" t="n"/>
      <c r="H19" s="53" t="n"/>
      <c r="I19" s="453" t="n"/>
      <c r="J19" s="455" t="n"/>
      <c r="K19" s="451" t="n"/>
      <c r="L19" s="451" t="n"/>
      <c r="M19" s="448">
        <f>SUM(K19:L19)</f>
        <v/>
      </c>
      <c r="N19" s="437" t="n"/>
    </row>
    <row r="20">
      <c r="A20" s="51" t="n"/>
      <c r="B20" s="62" t="n"/>
      <c r="C20" s="53" t="n"/>
      <c r="D20" s="425" t="n"/>
      <c r="E20" s="53" t="n"/>
      <c r="F20" s="61" t="n"/>
      <c r="G20" s="61" t="n"/>
      <c r="H20" s="53" t="n"/>
      <c r="I20" s="453" t="n"/>
      <c r="J20" s="455" t="n"/>
      <c r="K20" s="451" t="n"/>
      <c r="L20" s="451" t="n"/>
      <c r="M20" s="448">
        <f>SUM(K20:L20)</f>
        <v/>
      </c>
      <c r="N20" s="437" t="n"/>
    </row>
    <row r="21">
      <c r="A21" s="51" t="n"/>
      <c r="B21" s="62" t="n"/>
      <c r="C21" s="53" t="n"/>
      <c r="D21" s="456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48">
        <f>SUM(K21:L21)</f>
        <v/>
      </c>
      <c r="N21" s="437" t="n"/>
    </row>
    <row r="22">
      <c r="A22" s="51" t="n"/>
      <c r="B22" s="62" t="n"/>
      <c r="C22" s="53" t="n"/>
      <c r="D22" s="53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48">
        <f>SUM(K22:L22)</f>
        <v/>
      </c>
      <c r="N22" s="437" t="n"/>
    </row>
    <row r="23">
      <c r="A23" s="51" t="n"/>
      <c r="B23" s="62" t="n"/>
      <c r="C23" s="53" t="n"/>
      <c r="D23" s="425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48">
        <f>SUM(K23:L23)</f>
        <v/>
      </c>
      <c r="N23" s="437" t="n"/>
    </row>
    <row r="24">
      <c r="A24" s="51" t="n"/>
      <c r="B24" s="62" t="n"/>
      <c r="C24" s="53" t="n"/>
      <c r="D24" s="476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48">
        <f>SUM(K24:L24)</f>
        <v/>
      </c>
      <c r="N24" s="437" t="n"/>
    </row>
    <row r="25">
      <c r="A25" s="51" t="n"/>
      <c r="B25" s="62" t="n"/>
      <c r="C25" s="53" t="n"/>
      <c r="D25" s="425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48">
        <f>SUM(K25:L25)</f>
        <v/>
      </c>
      <c r="N25" s="437" t="n"/>
    </row>
    <row r="26">
      <c r="A26" s="51" t="n"/>
      <c r="B26" s="62" t="n"/>
      <c r="C26" s="53" t="n"/>
      <c r="D26" s="9" t="n"/>
      <c r="E26" s="53" t="n"/>
      <c r="F26" s="61" t="n"/>
      <c r="G26" s="61" t="n"/>
      <c r="H26" s="53" t="n"/>
      <c r="I26" s="453" t="n"/>
      <c r="J26" s="455" t="n"/>
      <c r="K26" s="451" t="n"/>
      <c r="L26" s="451" t="n"/>
      <c r="M26" s="448">
        <f>SUM(K26:L26)</f>
        <v/>
      </c>
      <c r="N26" s="437" t="n"/>
    </row>
    <row r="27">
      <c r="A27" s="51" t="n"/>
      <c r="B27" s="62" t="n"/>
      <c r="C27" s="53" t="n"/>
      <c r="D27" s="425" t="n"/>
      <c r="E27" s="53" t="n"/>
      <c r="F27" s="61" t="n"/>
      <c r="G27" s="61" t="n"/>
      <c r="H27" s="53" t="n"/>
      <c r="I27" s="453" t="n"/>
      <c r="J27" s="455" t="n"/>
      <c r="K27" s="451" t="n"/>
      <c r="L27" s="451" t="n"/>
      <c r="M27" s="448">
        <f>SUM(K27:L27)</f>
        <v/>
      </c>
      <c r="N27" s="437" t="n"/>
    </row>
    <row r="28">
      <c r="A28" s="51" t="n"/>
      <c r="B28" s="62" t="n"/>
      <c r="C28" s="53" t="n"/>
      <c r="D28" s="425" t="n"/>
      <c r="E28" s="53" t="n"/>
      <c r="F28" s="61" t="n"/>
      <c r="G28" s="61" t="n"/>
      <c r="H28" s="53" t="n"/>
      <c r="I28" s="453" t="n"/>
      <c r="J28" s="455" t="n"/>
      <c r="K28" s="451" t="n"/>
      <c r="L28" s="451" t="n"/>
      <c r="M28" s="448">
        <f>SUM(K28:L28)</f>
        <v/>
      </c>
      <c r="N28" s="437" t="n"/>
    </row>
    <row r="29">
      <c r="A29" s="51" t="n"/>
      <c r="B29" s="62" t="n"/>
      <c r="C29" s="53" t="n"/>
      <c r="D29" s="456" t="n"/>
      <c r="E29" s="10" t="n"/>
      <c r="F29" s="61" t="n"/>
      <c r="G29" s="61" t="n"/>
      <c r="H29" s="10" t="n"/>
      <c r="I29" s="461" t="n"/>
      <c r="J29" s="458" t="n"/>
      <c r="K29" s="459" t="n"/>
      <c r="L29" s="459" t="n"/>
      <c r="M29" s="448">
        <f>SUM(K29:L29)</f>
        <v/>
      </c>
      <c r="N29" s="437" t="n"/>
    </row>
    <row r="30">
      <c r="A30" s="14" t="n"/>
      <c r="B30" s="15" t="n"/>
      <c r="C30" s="10" t="n"/>
      <c r="D30" s="425" t="n"/>
      <c r="E30" s="10" t="n"/>
      <c r="F30" s="61" t="n"/>
      <c r="G30" s="61" t="n"/>
      <c r="H30" s="10" t="n"/>
      <c r="I30" s="461" t="n"/>
      <c r="J30" s="458" t="n"/>
      <c r="K30" s="459" t="n"/>
      <c r="L30" s="459" t="n"/>
      <c r="M30" s="448">
        <f>SUM(K30:L30)</f>
        <v/>
      </c>
      <c r="N30" s="437" t="n"/>
    </row>
    <row r="31">
      <c r="A31" s="14" t="n"/>
      <c r="B31" s="15" t="n"/>
      <c r="C31" s="10" t="n"/>
      <c r="D31" s="460" t="n"/>
      <c r="E31" s="10" t="n"/>
      <c r="F31" s="61" t="n"/>
      <c r="G31" s="61" t="n"/>
      <c r="H31" s="10" t="n"/>
      <c r="I31" s="461" t="n"/>
      <c r="J31" s="458" t="n"/>
      <c r="K31" s="459" t="n"/>
      <c r="L31" s="459" t="n"/>
      <c r="M31" s="448">
        <f>SUM(K31:L31)</f>
        <v/>
      </c>
      <c r="N31" s="437" t="n"/>
    </row>
    <row r="32">
      <c r="A32" s="14" t="n"/>
      <c r="B32" s="15" t="n"/>
      <c r="C32" s="10" t="n"/>
      <c r="D32" s="460" t="n"/>
      <c r="E32" s="10" t="n"/>
      <c r="F32" s="61" t="n"/>
      <c r="G32" s="61" t="n"/>
      <c r="H32" s="10" t="n"/>
      <c r="I32" s="461" t="n"/>
      <c r="J32" s="458" t="n"/>
      <c r="K32" s="459" t="n"/>
      <c r="L32" s="459" t="n"/>
      <c r="M32" s="448">
        <f>SUM(K32:L32)</f>
        <v/>
      </c>
      <c r="N32" s="437" t="n"/>
    </row>
    <row r="33">
      <c r="A33" s="14" t="n"/>
      <c r="B33" s="15" t="n"/>
      <c r="C33" s="10" t="n"/>
      <c r="D33" s="425" t="n"/>
      <c r="E33" s="10" t="n"/>
      <c r="F33" s="61" t="n"/>
      <c r="G33" s="61" t="n"/>
      <c r="H33" s="10" t="n"/>
      <c r="I33" s="461" t="n"/>
      <c r="J33" s="458" t="n"/>
      <c r="K33" s="459" t="n"/>
      <c r="L33" s="459" t="n"/>
      <c r="M33" s="448">
        <f>SUM(K33:L33)</f>
        <v/>
      </c>
      <c r="N33" s="437" t="n"/>
    </row>
    <row r="34">
      <c r="A34" s="17" t="n"/>
      <c r="B34" s="18" t="n"/>
      <c r="C34" s="10" t="n"/>
      <c r="D34" s="452" t="n"/>
      <c r="E34" s="10" t="n"/>
      <c r="F34" s="61" t="n"/>
      <c r="G34" s="61" t="n"/>
      <c r="H34" s="10" t="n"/>
      <c r="I34" s="461" t="n"/>
      <c r="J34" s="458" t="n"/>
      <c r="K34" s="459" t="n"/>
      <c r="L34" s="459" t="n"/>
      <c r="M34" s="448">
        <f>SUM(K34:L34)</f>
        <v/>
      </c>
      <c r="N34" s="437" t="n"/>
    </row>
    <row r="35">
      <c r="A35" s="17" t="n"/>
      <c r="B35" s="18" t="n"/>
      <c r="C35" s="10" t="n"/>
      <c r="D35" s="452" t="n"/>
      <c r="E35" s="10" t="n"/>
      <c r="F35" s="61" t="n"/>
      <c r="G35" s="61" t="n"/>
      <c r="H35" s="10" t="n"/>
      <c r="I35" s="461" t="n"/>
      <c r="J35" s="458" t="n"/>
      <c r="K35" s="459" t="n"/>
      <c r="L35" s="459" t="n"/>
      <c r="M35" s="448">
        <f>SUM(K35:L35)</f>
        <v/>
      </c>
      <c r="N35" s="437" t="n"/>
    </row>
    <row r="36">
      <c r="A36" s="17" t="n"/>
      <c r="B36" s="18" t="n"/>
      <c r="C36" s="10" t="n"/>
      <c r="D36" s="452" t="n"/>
      <c r="E36" s="10" t="n"/>
      <c r="F36" s="61" t="n"/>
      <c r="G36" s="61" t="n"/>
      <c r="H36" s="10" t="n"/>
      <c r="I36" s="461" t="n"/>
      <c r="J36" s="458" t="n"/>
      <c r="K36" s="459" t="n"/>
      <c r="L36" s="459" t="n"/>
      <c r="M36" s="448">
        <f>SUM(K36:L36)</f>
        <v/>
      </c>
      <c r="N36" s="437" t="n"/>
    </row>
    <row r="37">
      <c r="A37" s="14" t="n"/>
      <c r="B37" s="15" t="n"/>
      <c r="C37" s="10" t="n"/>
      <c r="D37" s="476" t="n"/>
      <c r="E37" s="10" t="n"/>
      <c r="F37" s="61" t="n"/>
      <c r="G37" s="61" t="n"/>
      <c r="H37" s="10" t="n"/>
      <c r="I37" s="461" t="n"/>
      <c r="J37" s="458" t="n"/>
      <c r="K37" s="459" t="n"/>
      <c r="L37" s="459" t="n"/>
      <c r="M37" s="448">
        <f>SUM(K37:L37)</f>
        <v/>
      </c>
      <c r="N37" s="437" t="n"/>
    </row>
    <row r="38">
      <c r="A38" s="14" t="n"/>
      <c r="B38" s="15" t="n"/>
      <c r="C38" s="53" t="n"/>
      <c r="D38" s="476" t="n"/>
      <c r="E38" s="53" t="n"/>
      <c r="F38" s="62" t="n"/>
      <c r="G38" s="62" t="n"/>
      <c r="H38" s="53" t="n"/>
      <c r="I38" s="453" t="n"/>
      <c r="J38" s="455" t="n"/>
      <c r="K38" s="451" t="n"/>
      <c r="L38" s="451" t="n"/>
      <c r="M38" s="448">
        <f>SUM(K38:L38)</f>
        <v/>
      </c>
      <c r="N38" s="437" t="n"/>
    </row>
    <row r="39">
      <c r="A39" s="20" t="n"/>
      <c r="B39" s="21" t="n"/>
      <c r="C39" s="22" t="n"/>
      <c r="D39" s="21" t="n"/>
      <c r="E39" s="21" t="n"/>
      <c r="F39" s="21" t="n"/>
      <c r="G39" s="21" t="n"/>
      <c r="H39" s="21" t="n"/>
      <c r="I39" s="465" t="n"/>
      <c r="J39" s="469" t="n"/>
      <c r="K39" s="470" t="n"/>
      <c r="L39" s="470" t="n"/>
      <c r="M39" s="470" t="n"/>
      <c r="N39" s="437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9" t="n"/>
      <c r="K40" s="470" t="n"/>
      <c r="L40" s="470" t="n"/>
      <c r="M40" s="472">
        <f>SUM(M2:M39)</f>
        <v/>
      </c>
      <c r="N40" s="472">
        <f>SUM(N2:N39)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9" t="n"/>
      <c r="K41" s="470" t="n"/>
      <c r="L41" s="470" t="n"/>
      <c r="M41" s="473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9" t="n"/>
      <c r="K42" s="470" t="n"/>
      <c r="L42" s="47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  <row r="135">
      <c r="A135" t="n">
        <v>546659</v>
      </c>
      <c r="B135" t="inlineStr">
        <is>
          <t>14:20:00</t>
        </is>
      </c>
      <c r="C135" t="inlineStr">
        <is>
          <t>TST&gt;AP</t>
        </is>
      </c>
      <c r="D135" t="inlineStr">
        <is>
          <t>So 蘇 WH9918 60139929</t>
        </is>
      </c>
      <c r="E135" t="inlineStr">
        <is>
          <t>Done</t>
        </is>
      </c>
      <c r="F135" t="inlineStr">
        <is>
          <t>14:25:00</t>
        </is>
      </c>
      <c r="G135" t="inlineStr">
        <is>
          <t>14:55:00</t>
        </is>
      </c>
      <c r="J135" t="inlineStr"/>
      <c r="K135" t="n">
        <v>0</v>
      </c>
      <c r="L135" t="n">
        <v>400</v>
      </c>
      <c r="M135" t="n">
        <v>400</v>
      </c>
      <c r="N135" t="n">
        <v>30</v>
      </c>
    </row>
    <row r="136">
      <c r="A136" t="n">
        <v>546660</v>
      </c>
      <c r="B136" t="inlineStr">
        <is>
          <t>14:50:00</t>
        </is>
      </c>
      <c r="C136" t="inlineStr">
        <is>
          <t>MB509 &gt; TST</t>
        </is>
      </c>
      <c r="D136" t="inlineStr">
        <is>
          <t>So 蘇 WH9918 60139929</t>
        </is>
      </c>
      <c r="E136" t="inlineStr">
        <is>
          <t>Done</t>
        </is>
      </c>
      <c r="F136" t="inlineStr">
        <is>
          <t>15:20:00</t>
        </is>
      </c>
      <c r="G136" t="inlineStr">
        <is>
          <t>15:50:00</t>
        </is>
      </c>
      <c r="J136" t="inlineStr">
        <is>
          <t>Cp 35</t>
        </is>
      </c>
      <c r="K136" t="n">
        <v>35</v>
      </c>
      <c r="L136" t="n">
        <v>400</v>
      </c>
      <c r="M136" t="n">
        <v>435</v>
      </c>
      <c r="N136" t="n">
        <v>30</v>
      </c>
    </row>
    <row r="137">
      <c r="A137" t="n">
        <v>546660</v>
      </c>
      <c r="B137" t="inlineStr">
        <is>
          <t>14:50:00</t>
        </is>
      </c>
      <c r="C137" t="inlineStr">
        <is>
          <t>MB509 &gt; TST</t>
        </is>
      </c>
      <c r="D137" t="inlineStr">
        <is>
          <t>Abble 梁 RN377 95514488</t>
        </is>
      </c>
      <c r="E137" t="inlineStr">
        <is>
          <t>Done</t>
        </is>
      </c>
      <c r="F137" t="inlineStr">
        <is>
          <t>15:20:00</t>
        </is>
      </c>
      <c r="G137" t="inlineStr">
        <is>
          <t>15:50:00</t>
        </is>
      </c>
      <c r="J137" t="inlineStr">
        <is>
          <t>Cp 35</t>
        </is>
      </c>
      <c r="K137" t="n">
        <v>35</v>
      </c>
      <c r="L137" t="n">
        <v>400</v>
      </c>
      <c r="M137" t="n">
        <v>435</v>
      </c>
      <c r="N137" t="n">
        <v>30</v>
      </c>
    </row>
    <row r="138">
      <c r="A138" t="n">
        <v>546661</v>
      </c>
      <c r="B138" t="inlineStr">
        <is>
          <t>15:50:00</t>
        </is>
      </c>
      <c r="C138" t="inlineStr">
        <is>
          <t>TST&gt;AP</t>
        </is>
      </c>
      <c r="D138" t="inlineStr">
        <is>
          <t>Wong Jacky CT8022 69986953</t>
        </is>
      </c>
      <c r="E138" t="inlineStr">
        <is>
          <t>No show</t>
        </is>
      </c>
      <c r="J138" t="inlineStr"/>
      <c r="K138" t="n">
        <v>0</v>
      </c>
      <c r="L138" t="n">
        <v>400</v>
      </c>
      <c r="M138" t="n">
        <v>400</v>
      </c>
      <c r="N138" t="n">
        <v>30</v>
      </c>
    </row>
    <row r="139">
      <c r="A139" t="n">
        <v>546871</v>
      </c>
      <c r="B139" t="inlineStr">
        <is>
          <t>18:30:00</t>
        </is>
      </c>
      <c r="C139" t="inlineStr">
        <is>
          <t>TST&gt;AP</t>
        </is>
      </c>
      <c r="D139" t="inlineStr">
        <is>
          <t>So 蘇 WH9918 60139929</t>
        </is>
      </c>
      <c r="E139" t="inlineStr">
        <is>
          <t>Done</t>
        </is>
      </c>
      <c r="F139" t="inlineStr">
        <is>
          <t>18:33:00</t>
        </is>
      </c>
      <c r="G139" t="inlineStr">
        <is>
          <t>19:06:00</t>
        </is>
      </c>
      <c r="J139" t="inlineStr"/>
      <c r="K139" t="n">
        <v>0</v>
      </c>
      <c r="L139" t="n">
        <v>400</v>
      </c>
      <c r="M139" t="n">
        <v>400</v>
      </c>
      <c r="N139" t="n">
        <v>30</v>
      </c>
    </row>
    <row r="140">
      <c r="A140" t="n">
        <v>546202</v>
      </c>
      <c r="B140" t="inlineStr">
        <is>
          <t>即時</t>
        </is>
      </c>
      <c r="C140" t="inlineStr">
        <is>
          <t>AP &gt; 旺角帝京</t>
        </is>
      </c>
      <c r="D140" t="inlineStr">
        <is>
          <t>Kelvin 陳師傅 YW8506 +85291939799</t>
        </is>
      </c>
      <c r="E140" t="inlineStr">
        <is>
          <t>Done</t>
        </is>
      </c>
      <c r="F140" t="inlineStr">
        <is>
          <t>19:25:00</t>
        </is>
      </c>
      <c r="G140" t="inlineStr">
        <is>
          <t>20:05:00</t>
        </is>
      </c>
      <c r="J140" t="inlineStr">
        <is>
          <t>Cp 35</t>
        </is>
      </c>
      <c r="K140" t="n">
        <v>35</v>
      </c>
      <c r="L140" t="n">
        <v>400</v>
      </c>
      <c r="M140" t="n">
        <v>435</v>
      </c>
      <c r="N140" t="n">
        <v>30</v>
      </c>
    </row>
    <row r="141">
      <c r="A141" t="n">
        <v>546746</v>
      </c>
      <c r="B141" t="inlineStr">
        <is>
          <t>22:10:00</t>
        </is>
      </c>
      <c r="C141" t="inlineStr">
        <is>
          <t>3v401 &gt; Cordis</t>
        </is>
      </c>
      <c r="D141" t="inlineStr">
        <is>
          <t>Stanley /梁師傅 LJ9800 +85298286100</t>
        </is>
      </c>
      <c r="E141" t="inlineStr">
        <is>
          <t>Done</t>
        </is>
      </c>
      <c r="F141" t="inlineStr">
        <is>
          <t>22:40:00</t>
        </is>
      </c>
      <c r="G141" t="inlineStr">
        <is>
          <t>23:10:00</t>
        </is>
      </c>
      <c r="J141" t="inlineStr">
        <is>
          <t>Cp 35</t>
        </is>
      </c>
      <c r="K141" t="n">
        <v>35</v>
      </c>
      <c r="L141" t="n">
        <v>400</v>
      </c>
      <c r="M141" t="n">
        <v>435</v>
      </c>
      <c r="N141" t="n">
        <v>30</v>
      </c>
    </row>
    <row r="142">
      <c r="A142" t="n">
        <v>546746</v>
      </c>
      <c r="B142" t="inlineStr">
        <is>
          <t>22:10:00</t>
        </is>
      </c>
      <c r="C142" t="inlineStr">
        <is>
          <t>3v401 &gt; Cordis</t>
        </is>
      </c>
      <c r="D142" t="inlineStr">
        <is>
          <t>Patrick WW8421 93182082</t>
        </is>
      </c>
      <c r="E142" t="inlineStr">
        <is>
          <t>Done</t>
        </is>
      </c>
      <c r="F142" t="inlineStr">
        <is>
          <t>22:40:00</t>
        </is>
      </c>
      <c r="G142" t="inlineStr">
        <is>
          <t>23:10:00</t>
        </is>
      </c>
      <c r="J142" t="inlineStr">
        <is>
          <t>Cp 35</t>
        </is>
      </c>
      <c r="K142" t="n">
        <v>35</v>
      </c>
      <c r="L142" t="n">
        <v>400</v>
      </c>
      <c r="M142" t="n">
        <v>435</v>
      </c>
      <c r="N142" t="n">
        <v>30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34"/>
  <sheetViews>
    <sheetView topLeftCell="C1" zoomScale="49" zoomScaleNormal="49" workbookViewId="0">
      <selection activeCell="J64" sqref="J64"/>
    </sheetView>
  </sheetViews>
  <sheetFormatPr baseColWidth="8" defaultColWidth="8.75" defaultRowHeight="15"/>
  <cols>
    <col width="9" customWidth="1" style="29" min="1" max="1"/>
    <col width="56" customWidth="1" min="3" max="3"/>
    <col width="25.25" customWidth="1" min="4" max="4"/>
    <col width="9" bestFit="1" customWidth="1" min="5" max="5"/>
    <col width="9.5" bestFit="1" customWidth="1" style="525" min="6" max="7"/>
    <col width="11.5" bestFit="1" customWidth="1" min="8" max="8"/>
    <col width="9.5" customWidth="1" min="9" max="9"/>
    <col width="31.875" customWidth="1" style="423" min="10" max="10"/>
    <col width="9" bestFit="1" customWidth="1" style="424" min="11" max="12"/>
    <col width="15.125" customWidth="1" style="424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5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Format="1" customHeight="1" s="112">
      <c r="A2" s="267" t="n"/>
      <c r="B2" s="268" t="n"/>
      <c r="C2" s="434" t="n"/>
      <c r="D2" s="440" t="n"/>
      <c r="E2" s="149" t="n"/>
      <c r="F2" s="218" t="n"/>
      <c r="G2" s="218" t="n"/>
      <c r="H2" s="149" t="n"/>
      <c r="I2" s="515" t="n"/>
      <c r="J2" s="434" t="n"/>
      <c r="K2" s="437" t="n"/>
      <c r="L2" s="436" t="n"/>
      <c r="M2" s="437">
        <f>SUM(K2:L2)</f>
        <v/>
      </c>
      <c r="N2" s="437" t="n"/>
    </row>
    <row r="3" ht="17.25" customFormat="1" customHeight="1" s="112">
      <c r="A3" s="220" t="n"/>
      <c r="B3" s="269" t="n"/>
      <c r="C3" s="222" t="n"/>
      <c r="D3" s="101" t="n"/>
      <c r="E3" s="232" t="n"/>
      <c r="F3" s="250" t="n"/>
      <c r="G3" s="250" t="n"/>
      <c r="H3" s="232" t="n"/>
      <c r="I3" s="526" t="n"/>
      <c r="J3" s="527" t="n"/>
      <c r="K3" s="437" t="n"/>
      <c r="L3" s="436" t="n"/>
      <c r="M3" s="437">
        <f>SUM(K3:L3)</f>
        <v/>
      </c>
      <c r="N3" s="437" t="n"/>
    </row>
    <row r="4" ht="17.25" customFormat="1" customHeight="1" s="112">
      <c r="A4" s="220" t="n"/>
      <c r="B4" s="269" t="n"/>
      <c r="C4" s="222" t="n"/>
      <c r="D4" s="101" t="n"/>
      <c r="E4" s="232" t="n"/>
      <c r="F4" s="250" t="n"/>
      <c r="G4" s="250" t="n"/>
      <c r="H4" s="232" t="n"/>
      <c r="I4" s="526" t="n"/>
      <c r="J4" s="527" t="n"/>
      <c r="K4" s="437" t="n"/>
      <c r="L4" s="436" t="n"/>
      <c r="M4" s="437">
        <f>SUM(K4:L4)</f>
        <v/>
      </c>
      <c r="N4" s="437" t="n"/>
    </row>
    <row r="5" ht="17.25" customFormat="1" customHeight="1" s="112">
      <c r="A5" s="91" t="n"/>
      <c r="B5" s="92" t="n"/>
      <c r="C5" s="93" t="n"/>
      <c r="D5" s="514" t="n"/>
      <c r="E5" s="103" t="n"/>
      <c r="F5" s="113" t="n"/>
      <c r="G5" s="113" t="n"/>
      <c r="H5" s="39" t="n"/>
      <c r="I5" s="438" t="n"/>
      <c r="J5" s="438" t="n"/>
      <c r="K5" s="437" t="n"/>
      <c r="L5" s="436" t="n"/>
      <c r="M5" s="437">
        <f>SUM(K5:L5)</f>
        <v/>
      </c>
      <c r="N5" s="437" t="n"/>
    </row>
    <row r="6" ht="17.25" customFormat="1" customHeight="1" s="112">
      <c r="A6" s="229" t="n"/>
      <c r="B6" s="230" t="n"/>
      <c r="C6" s="231" t="n"/>
      <c r="D6" s="48" t="n"/>
      <c r="E6" s="126" t="n"/>
      <c r="F6" s="127" t="n"/>
      <c r="G6" s="127" t="n"/>
      <c r="H6" s="126" t="n"/>
      <c r="I6" s="513" t="n"/>
      <c r="J6" s="441" t="n"/>
      <c r="K6" s="437" t="n"/>
      <c r="L6" s="436" t="n"/>
      <c r="M6" s="437">
        <f>SUM(K6:L6)</f>
        <v/>
      </c>
      <c r="N6" s="437" t="n"/>
    </row>
    <row r="7" ht="17.25" customFormat="1" customHeight="1" s="112">
      <c r="A7" s="229" t="n"/>
      <c r="B7" s="230" t="n"/>
      <c r="C7" s="231" t="n"/>
      <c r="D7" s="48" t="n"/>
      <c r="E7" s="126" t="n"/>
      <c r="F7" s="127" t="n"/>
      <c r="G7" s="127" t="n"/>
      <c r="H7" s="126" t="n"/>
      <c r="I7" s="513" t="n"/>
      <c r="J7" s="441" t="n"/>
      <c r="K7" s="437" t="n"/>
      <c r="L7" s="436" t="n"/>
      <c r="M7" s="437">
        <f>SUM(K7:L7)</f>
        <v/>
      </c>
      <c r="N7" s="437" t="n"/>
    </row>
    <row r="8" ht="17.25" customFormat="1" customHeight="1" s="112">
      <c r="A8" s="229" t="n"/>
      <c r="B8" s="230" t="n"/>
      <c r="C8" s="140" t="n"/>
      <c r="D8" s="126" t="n"/>
      <c r="E8" s="126" t="n"/>
      <c r="F8" s="127" t="n"/>
      <c r="G8" s="127" t="n"/>
      <c r="H8" s="126" t="n"/>
      <c r="I8" s="513" t="n"/>
      <c r="J8" s="438" t="n"/>
      <c r="K8" s="437" t="n"/>
      <c r="L8" s="436" t="n"/>
      <c r="M8" s="437">
        <f>SUM(K8:L8)</f>
        <v/>
      </c>
      <c r="N8" s="437" t="n"/>
    </row>
    <row r="9" ht="17.25" customFormat="1" customHeight="1" s="112">
      <c r="A9" s="91" t="n"/>
      <c r="B9" s="48" t="n"/>
      <c r="C9" s="101" t="n"/>
      <c r="D9" s="528" t="n"/>
      <c r="E9" s="39" t="n"/>
      <c r="F9" s="40" t="n"/>
      <c r="G9" s="40" t="n"/>
      <c r="H9" s="39" t="n"/>
      <c r="I9" s="438" t="n"/>
      <c r="J9" s="441" t="n"/>
      <c r="K9" s="437" t="n"/>
      <c r="L9" s="436" t="n"/>
      <c r="M9" s="437">
        <f>SUM(K9:L9)</f>
        <v/>
      </c>
      <c r="N9" s="437" t="n"/>
    </row>
    <row r="10" ht="17.25" customFormat="1" customHeight="1" s="112">
      <c r="A10" s="91" t="n"/>
      <c r="B10" s="48" t="n"/>
      <c r="C10" s="101" t="n"/>
      <c r="D10" s="491" t="n"/>
      <c r="E10" s="39" t="n"/>
      <c r="F10" s="40" t="n"/>
      <c r="G10" s="40" t="n"/>
      <c r="H10" s="39" t="n"/>
      <c r="I10" s="438" t="n"/>
      <c r="J10" s="441" t="n"/>
      <c r="K10" s="437" t="n"/>
      <c r="L10" s="436" t="n"/>
      <c r="M10" s="437">
        <f>SUM(K10:L10)</f>
        <v/>
      </c>
      <c r="N10" s="437" t="n"/>
    </row>
    <row r="11" ht="17.25" customHeight="1">
      <c r="A11" s="145" t="n"/>
      <c r="B11" s="130" t="n"/>
      <c r="C11" s="93" t="n"/>
      <c r="D11" s="93" t="n"/>
      <c r="E11" s="93" t="n"/>
      <c r="F11" s="113" t="n"/>
      <c r="G11" s="113" t="n"/>
      <c r="H11" s="93" t="n"/>
      <c r="I11" s="433" t="n"/>
      <c r="J11" s="441" t="n"/>
      <c r="K11" s="437" t="n"/>
      <c r="L11" s="436" t="n"/>
      <c r="M11" s="437">
        <f>SUM(K11:L11)</f>
        <v/>
      </c>
      <c r="N11" s="437" t="n"/>
    </row>
    <row r="12" ht="17.25" customHeight="1">
      <c r="A12" s="145" t="n"/>
      <c r="B12" s="130" t="n"/>
      <c r="C12" s="93" t="n"/>
      <c r="D12" s="158" t="n"/>
      <c r="E12" s="158" t="n"/>
      <c r="F12" s="113" t="n"/>
      <c r="G12" s="113" t="n"/>
      <c r="H12" s="158" t="n"/>
      <c r="I12" s="509" t="n"/>
      <c r="J12" s="441" t="n"/>
      <c r="K12" s="437" t="n"/>
      <c r="L12" s="436" t="n"/>
      <c r="M12" s="437">
        <f>SUM(K12:L12)</f>
        <v/>
      </c>
      <c r="N12" s="437" t="n"/>
    </row>
    <row r="13" ht="17.25" customHeight="1">
      <c r="A13" s="91" t="n"/>
      <c r="B13" s="48" t="n"/>
      <c r="C13" s="93" t="n"/>
      <c r="D13" s="511" t="n"/>
      <c r="E13" s="39" t="n"/>
      <c r="F13" s="40" t="n"/>
      <c r="G13" s="40" t="n"/>
      <c r="H13" s="449" t="n"/>
      <c r="I13" s="438" t="n"/>
      <c r="J13" s="441" t="n"/>
      <c r="K13" s="437" t="n"/>
      <c r="L13" s="436" t="n"/>
      <c r="M13" s="437">
        <f>SUM(K13:L13)</f>
        <v/>
      </c>
      <c r="N13" s="437" t="n"/>
    </row>
    <row r="14">
      <c r="A14" s="45" t="n"/>
      <c r="B14" s="48" t="n"/>
      <c r="C14" s="39" t="n"/>
      <c r="D14" s="440" t="n"/>
      <c r="E14" s="39" t="n"/>
      <c r="F14" s="40" t="n"/>
      <c r="G14" s="40" t="n"/>
      <c r="H14" s="39" t="n"/>
      <c r="I14" s="438" t="n"/>
      <c r="J14" s="441" t="n"/>
      <c r="K14" s="437" t="n"/>
      <c r="L14" s="436" t="n"/>
      <c r="M14" s="437">
        <f>SUM(K14:L14)</f>
        <v/>
      </c>
      <c r="N14" s="437" t="n"/>
    </row>
    <row r="15">
      <c r="A15" s="45" t="n"/>
      <c r="B15" s="46" t="n"/>
      <c r="C15" s="39" t="n"/>
      <c r="D15" s="454" t="n"/>
      <c r="E15" s="39" t="n"/>
      <c r="F15" s="40" t="n"/>
      <c r="G15" s="40" t="n"/>
      <c r="H15" s="39" t="n"/>
      <c r="I15" s="438" t="n"/>
      <c r="J15" s="441" t="n"/>
      <c r="K15" s="437" t="n"/>
      <c r="L15" s="436" t="n"/>
      <c r="M15" s="448">
        <f>SUM(K15:L15)</f>
        <v/>
      </c>
      <c r="N15" s="437" t="n"/>
    </row>
    <row r="16">
      <c r="A16" s="47" t="n"/>
      <c r="B16" s="48" t="n"/>
      <c r="C16" s="39" t="n"/>
      <c r="D16" s="454" t="n"/>
      <c r="E16" s="39" t="n"/>
      <c r="F16" s="40" t="n"/>
      <c r="G16" s="40" t="n"/>
      <c r="H16" s="39" t="n"/>
      <c r="I16" s="438" t="n"/>
      <c r="J16" s="441" t="n"/>
      <c r="K16" s="437" t="n"/>
      <c r="L16" s="436" t="n"/>
      <c r="M16" s="448">
        <f>SUM(K16:L16)</f>
        <v/>
      </c>
      <c r="N16" s="437" t="n"/>
    </row>
    <row r="17">
      <c r="A17" s="45" t="n"/>
      <c r="B17" s="46" t="n"/>
      <c r="C17" s="39" t="n"/>
      <c r="D17" s="440" t="n"/>
      <c r="E17" s="39" t="n"/>
      <c r="F17" s="40" t="n"/>
      <c r="G17" s="40" t="n"/>
      <c r="H17" s="39" t="n"/>
      <c r="I17" s="438" t="n"/>
      <c r="J17" s="441" t="n"/>
      <c r="K17" s="437" t="n"/>
      <c r="L17" s="437" t="n"/>
      <c r="M17" s="448">
        <f>SUM(K17:L17)</f>
        <v/>
      </c>
      <c r="N17" s="437" t="n"/>
    </row>
    <row r="18" customFormat="1" s="6">
      <c r="A18" s="1" t="n"/>
      <c r="B18" s="8" t="n"/>
      <c r="C18" s="53" t="n"/>
      <c r="D18" s="425" t="n"/>
      <c r="E18" s="53" t="n"/>
      <c r="F18" s="61" t="n"/>
      <c r="G18" s="61" t="n"/>
      <c r="H18" s="53" t="n"/>
      <c r="I18" s="453" t="n"/>
      <c r="J18" s="455" t="n"/>
      <c r="K18" s="451" t="n"/>
      <c r="L18" s="451" t="n"/>
      <c r="M18" s="448">
        <f>SUM(K18:L18)</f>
        <v/>
      </c>
      <c r="N18" s="437" t="n"/>
    </row>
    <row r="19">
      <c r="A19" s="51" t="n"/>
      <c r="B19" s="62" t="n"/>
      <c r="C19" s="53" t="n"/>
      <c r="D19" s="425" t="n"/>
      <c r="E19" s="53" t="n"/>
      <c r="F19" s="61" t="n"/>
      <c r="G19" s="61" t="n"/>
      <c r="H19" s="53" t="n"/>
      <c r="I19" s="453" t="n"/>
      <c r="J19" s="455" t="n"/>
      <c r="K19" s="451" t="n"/>
      <c r="L19" s="451" t="n"/>
      <c r="M19" s="448">
        <f>SUM(K19:L19)</f>
        <v/>
      </c>
      <c r="N19" s="437" t="n"/>
    </row>
    <row r="20">
      <c r="A20" s="51" t="n"/>
      <c r="B20" s="62" t="n"/>
      <c r="C20" s="53" t="n"/>
      <c r="D20" s="425" t="n"/>
      <c r="E20" s="53" t="n"/>
      <c r="F20" s="61" t="n"/>
      <c r="G20" s="61" t="n"/>
      <c r="H20" s="53" t="n"/>
      <c r="I20" s="453" t="n"/>
      <c r="J20" s="455" t="n"/>
      <c r="K20" s="451" t="n"/>
      <c r="L20" s="451" t="n"/>
      <c r="M20" s="448">
        <f>SUM(K20:L20)</f>
        <v/>
      </c>
      <c r="N20" s="437" t="n"/>
    </row>
    <row r="21">
      <c r="A21" s="51" t="n"/>
      <c r="B21" s="62" t="n"/>
      <c r="C21" s="53" t="n"/>
      <c r="D21" s="425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48">
        <f>SUM(K21:L21)</f>
        <v/>
      </c>
      <c r="N21" s="437" t="n"/>
    </row>
    <row r="22">
      <c r="A22" s="51" t="n"/>
      <c r="B22" s="62" t="n"/>
      <c r="C22" s="53" t="n"/>
      <c r="D22" s="425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48">
        <f>SUM(K22:L22)</f>
        <v/>
      </c>
      <c r="N22" s="437" t="n"/>
    </row>
    <row r="23">
      <c r="A23" s="51" t="n"/>
      <c r="B23" s="62" t="n"/>
      <c r="C23" s="53" t="n"/>
      <c r="D23" s="456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48">
        <f>SUM(K23:L23)</f>
        <v/>
      </c>
      <c r="N23" s="437" t="n"/>
    </row>
    <row r="24">
      <c r="A24" s="51" t="n"/>
      <c r="B24" s="62" t="n"/>
      <c r="C24" s="53" t="n"/>
      <c r="D24" s="53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48">
        <f>SUM(K24:L24)</f>
        <v/>
      </c>
      <c r="N24" s="437" t="n"/>
    </row>
    <row r="25">
      <c r="A25" s="47" t="n"/>
      <c r="B25" s="48" t="n"/>
      <c r="C25" s="39" t="n"/>
      <c r="D25" s="454" t="n"/>
      <c r="E25" s="39" t="n"/>
      <c r="F25" s="529" t="n"/>
      <c r="G25" s="529" t="n"/>
      <c r="H25" s="39" t="n"/>
      <c r="I25" s="438" t="n"/>
      <c r="J25" s="441" t="n"/>
      <c r="K25" s="437" t="n"/>
      <c r="L25" s="436" t="n"/>
      <c r="M25" s="448">
        <f>SUM(K25:L25)</f>
        <v/>
      </c>
      <c r="N25" s="437" t="n"/>
    </row>
    <row r="26">
      <c r="A26" s="45" t="n"/>
      <c r="B26" s="46" t="n"/>
      <c r="C26" s="39" t="n"/>
      <c r="D26" s="440" t="n"/>
      <c r="E26" s="39" t="n"/>
      <c r="F26" s="529" t="n"/>
      <c r="G26" s="529" t="n"/>
      <c r="H26" s="39" t="n"/>
      <c r="I26" s="438" t="n"/>
      <c r="J26" s="441" t="n"/>
      <c r="K26" s="437" t="n"/>
      <c r="L26" s="437" t="n"/>
      <c r="M26" s="448">
        <f>SUM(K26:L26)</f>
        <v/>
      </c>
      <c r="N26" s="437" t="n"/>
    </row>
    <row r="27">
      <c r="A27" s="1" t="n"/>
      <c r="B27" s="8" t="n"/>
      <c r="C27" s="53" t="n"/>
      <c r="D27" s="425" t="n"/>
      <c r="E27" s="53" t="n"/>
      <c r="F27" s="530" t="n"/>
      <c r="G27" s="530" t="n"/>
      <c r="H27" s="53" t="n"/>
      <c r="I27" s="453" t="n"/>
      <c r="J27" s="455" t="n"/>
      <c r="K27" s="451" t="n"/>
      <c r="L27" s="451" t="n"/>
      <c r="M27" s="448">
        <f>SUM(K27:L27)</f>
        <v/>
      </c>
      <c r="N27" s="437" t="n"/>
    </row>
    <row r="28">
      <c r="A28" s="51" t="n"/>
      <c r="B28" s="62" t="n"/>
      <c r="C28" s="53" t="n"/>
      <c r="D28" s="425" t="n"/>
      <c r="E28" s="53" t="n"/>
      <c r="F28" s="530" t="n"/>
      <c r="G28" s="530" t="n"/>
      <c r="H28" s="53" t="n"/>
      <c r="I28" s="453" t="n"/>
      <c r="J28" s="455" t="n"/>
      <c r="K28" s="451" t="n"/>
      <c r="L28" s="451" t="n"/>
      <c r="M28" s="448">
        <f>SUM(K28:L28)</f>
        <v/>
      </c>
      <c r="N28" s="437" t="n"/>
    </row>
    <row r="29">
      <c r="A29" s="51" t="n"/>
      <c r="B29" s="62" t="n"/>
      <c r="C29" s="53" t="n"/>
      <c r="D29" s="425" t="n"/>
      <c r="E29" s="53" t="n"/>
      <c r="F29" s="530" t="n"/>
      <c r="G29" s="530" t="n"/>
      <c r="H29" s="53" t="n"/>
      <c r="I29" s="453" t="n"/>
      <c r="J29" s="455" t="n"/>
      <c r="K29" s="451" t="n"/>
      <c r="L29" s="451" t="n"/>
      <c r="M29" s="448">
        <f>SUM(K29:L29)</f>
        <v/>
      </c>
      <c r="N29" s="437" t="n"/>
    </row>
    <row r="30">
      <c r="A30" s="51" t="n"/>
      <c r="B30" s="62" t="n"/>
      <c r="C30" s="53" t="n"/>
      <c r="D30" s="425" t="n"/>
      <c r="E30" s="53" t="n"/>
      <c r="F30" s="530" t="n"/>
      <c r="G30" s="530" t="n"/>
      <c r="H30" s="53" t="n"/>
      <c r="I30" s="453" t="n"/>
      <c r="J30" s="455" t="n"/>
      <c r="K30" s="451" t="n"/>
      <c r="L30" s="451" t="n"/>
      <c r="M30" s="448">
        <f>SUM(K30:L30)</f>
        <v/>
      </c>
      <c r="N30" s="437" t="n"/>
    </row>
    <row r="31">
      <c r="A31" s="51" t="n"/>
      <c r="B31" s="62" t="n"/>
      <c r="C31" s="53" t="n"/>
      <c r="D31" s="425" t="n"/>
      <c r="E31" s="53" t="n"/>
      <c r="F31" s="530" t="n"/>
      <c r="G31" s="530" t="n"/>
      <c r="H31" s="53" t="n"/>
      <c r="I31" s="453" t="n"/>
      <c r="J31" s="455" t="n"/>
      <c r="K31" s="451" t="n"/>
      <c r="L31" s="451" t="n"/>
      <c r="M31" s="448">
        <f>SUM(K31:L31)</f>
        <v/>
      </c>
      <c r="N31" s="437" t="n"/>
    </row>
    <row r="32">
      <c r="A32" s="51" t="n"/>
      <c r="B32" s="62" t="n"/>
      <c r="C32" s="53" t="n"/>
      <c r="D32" s="456" t="n"/>
      <c r="E32" s="53" t="n"/>
      <c r="F32" s="530" t="n"/>
      <c r="G32" s="530" t="n"/>
      <c r="H32" s="53" t="n"/>
      <c r="I32" s="453" t="n"/>
      <c r="J32" s="455" t="n"/>
      <c r="K32" s="451" t="n"/>
      <c r="L32" s="451" t="n"/>
      <c r="M32" s="448">
        <f>SUM(K32:L32)</f>
        <v/>
      </c>
      <c r="N32" s="437" t="n"/>
    </row>
    <row r="33">
      <c r="A33" s="51" t="n"/>
      <c r="B33" s="62" t="n"/>
      <c r="C33" s="53" t="n"/>
      <c r="D33" s="53" t="n"/>
      <c r="E33" s="53" t="n"/>
      <c r="F33" s="530" t="n"/>
      <c r="G33" s="530" t="n"/>
      <c r="H33" s="53" t="n"/>
      <c r="I33" s="453" t="n"/>
      <c r="J33" s="455" t="n"/>
      <c r="K33" s="451" t="n"/>
      <c r="L33" s="451" t="n"/>
      <c r="M33" s="448">
        <f>SUM(K33:L33)</f>
        <v/>
      </c>
      <c r="N33" s="437" t="n"/>
    </row>
    <row r="34">
      <c r="A34" s="51" t="n"/>
      <c r="B34" s="62" t="n"/>
      <c r="C34" s="53" t="n"/>
      <c r="D34" s="425" t="n"/>
      <c r="E34" s="53" t="n"/>
      <c r="F34" s="530" t="n"/>
      <c r="G34" s="530" t="n"/>
      <c r="H34" s="53" t="n"/>
      <c r="I34" s="453" t="n"/>
      <c r="J34" s="455" t="n"/>
      <c r="K34" s="451" t="n"/>
      <c r="L34" s="451" t="n"/>
      <c r="M34" s="448">
        <f>SUM(K34:L34)</f>
        <v/>
      </c>
      <c r="N34" s="437" t="n"/>
    </row>
    <row r="35">
      <c r="A35" s="51" t="n"/>
      <c r="B35" s="62" t="n"/>
      <c r="C35" s="53" t="n"/>
      <c r="D35" s="476" t="n"/>
      <c r="E35" s="53" t="n"/>
      <c r="F35" s="530" t="n"/>
      <c r="G35" s="530" t="n"/>
      <c r="H35" s="53" t="n"/>
      <c r="I35" s="453" t="n"/>
      <c r="J35" s="455" t="n"/>
      <c r="K35" s="451" t="n"/>
      <c r="L35" s="451" t="n"/>
      <c r="M35" s="448">
        <f>SUM(K35:L35)</f>
        <v/>
      </c>
      <c r="N35" s="437" t="n"/>
    </row>
    <row r="36">
      <c r="A36" s="51" t="n"/>
      <c r="B36" s="62" t="n"/>
      <c r="C36" s="53" t="n"/>
      <c r="D36" s="425" t="n"/>
      <c r="E36" s="53" t="n"/>
      <c r="F36" s="530" t="n"/>
      <c r="G36" s="530" t="n"/>
      <c r="H36" s="53" t="n"/>
      <c r="I36" s="453" t="n"/>
      <c r="J36" s="455" t="n"/>
      <c r="K36" s="451" t="n"/>
      <c r="L36" s="451" t="n"/>
      <c r="M36" s="448">
        <f>SUM(K36:L36)</f>
        <v/>
      </c>
      <c r="N36" s="437" t="n"/>
    </row>
    <row r="37">
      <c r="A37" s="51" t="n"/>
      <c r="B37" s="62" t="n"/>
      <c r="C37" s="53" t="n"/>
      <c r="D37" s="9" t="n"/>
      <c r="E37" s="53" t="n"/>
      <c r="F37" s="530" t="n"/>
      <c r="G37" s="530" t="n"/>
      <c r="H37" s="53" t="n"/>
      <c r="I37" s="453" t="n"/>
      <c r="J37" s="455" t="n"/>
      <c r="K37" s="451" t="n"/>
      <c r="L37" s="451" t="n"/>
      <c r="M37" s="448">
        <f>SUM(K37:L37)</f>
        <v/>
      </c>
      <c r="N37" s="437" t="n"/>
    </row>
    <row r="38">
      <c r="A38" s="51" t="n"/>
      <c r="B38" s="62" t="n"/>
      <c r="C38" s="53" t="n"/>
      <c r="D38" s="425" t="n"/>
      <c r="E38" s="53" t="n"/>
      <c r="F38" s="530" t="n"/>
      <c r="G38" s="530" t="n"/>
      <c r="H38" s="53" t="n"/>
      <c r="I38" s="453" t="n"/>
      <c r="J38" s="455" t="n"/>
      <c r="K38" s="451" t="n"/>
      <c r="L38" s="451" t="n"/>
      <c r="M38" s="448">
        <f>SUM(K38:L38)</f>
        <v/>
      </c>
      <c r="N38" s="437" t="n"/>
    </row>
    <row r="39">
      <c r="A39" s="105" t="n"/>
      <c r="B39" s="106" t="n"/>
      <c r="C39" s="102" t="n"/>
      <c r="D39" s="531" t="n"/>
      <c r="E39" s="102" t="n"/>
      <c r="F39" s="532" t="n"/>
      <c r="G39" s="532" t="n"/>
      <c r="H39" s="102" t="n"/>
      <c r="I39" s="533" t="n"/>
      <c r="J39" s="534" t="n"/>
      <c r="K39" s="494" t="n"/>
      <c r="L39" s="494" t="n"/>
      <c r="M39" s="483" t="n"/>
      <c r="N39" s="437" t="n"/>
    </row>
    <row r="40">
      <c r="A40" s="20" t="n"/>
      <c r="B40" s="21" t="n"/>
      <c r="C40" s="22" t="n"/>
      <c r="D40" s="21" t="n"/>
      <c r="E40" s="21" t="n"/>
      <c r="F40" s="535" t="n"/>
      <c r="G40" s="535" t="n"/>
      <c r="H40" s="21" t="n"/>
      <c r="J40" s="469" t="n"/>
      <c r="K40" s="470" t="n"/>
      <c r="L40" s="470" t="n"/>
      <c r="M40" s="472">
        <f>SUM(M2:M39)</f>
        <v/>
      </c>
      <c r="N40" s="472">
        <f>SUM(N2:N39)</f>
        <v/>
      </c>
    </row>
    <row r="41">
      <c r="A41" s="20" t="n"/>
      <c r="B41" s="21" t="n"/>
      <c r="C41" s="22" t="n"/>
      <c r="D41" s="21" t="n"/>
      <c r="E41" s="21" t="n"/>
      <c r="F41" s="535" t="n"/>
      <c r="G41" s="535" t="n"/>
      <c r="H41" s="21" t="n"/>
      <c r="J41" s="469" t="n"/>
      <c r="K41" s="470" t="n"/>
      <c r="L41" s="470" t="n"/>
      <c r="M41" s="473" t="n"/>
    </row>
    <row r="42">
      <c r="A42" s="20" t="n"/>
      <c r="B42" s="21" t="n"/>
      <c r="C42" s="22" t="n"/>
      <c r="D42" s="21" t="n"/>
      <c r="E42" s="21" t="n"/>
      <c r="F42" s="535" t="n"/>
      <c r="G42" s="535" t="n"/>
      <c r="H42" s="21" t="n"/>
      <c r="J42" s="469" t="n"/>
      <c r="K42" s="470" t="n"/>
      <c r="L42" s="47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pageMargins left="0.7" right="0.7" top="0.75" bottom="0.75" header="0.3" footer="0.3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34"/>
  <sheetViews>
    <sheetView workbookViewId="0">
      <selection activeCell="A40" sqref="A40"/>
    </sheetView>
  </sheetViews>
  <sheetFormatPr baseColWidth="8" defaultColWidth="8.75" defaultRowHeight="15"/>
  <cols>
    <col width="9" customWidth="1" style="29" min="1" max="1"/>
    <col width="56" customWidth="1" min="3" max="3"/>
    <col width="25.25" customWidth="1" min="4" max="4"/>
    <col width="9" bestFit="1" customWidth="1" min="5" max="7"/>
    <col width="11.5" bestFit="1" customWidth="1" min="8" max="8"/>
    <col width="9.5" customWidth="1" min="9" max="9"/>
    <col width="31.875" customWidth="1" style="423" min="10" max="10"/>
    <col width="9" bestFit="1" customWidth="1" style="424" min="11" max="12"/>
    <col width="15.125" customWidth="1" style="424" min="13" max="13"/>
  </cols>
  <sheetData>
    <row r="1">
      <c r="A1" s="67" t="inlineStr">
        <is>
          <t>Ord No.</t>
        </is>
      </c>
      <c r="B1" s="68" t="inlineStr">
        <is>
          <t>Time</t>
        </is>
      </c>
      <c r="C1" s="68" t="inlineStr">
        <is>
          <t>Trip</t>
        </is>
      </c>
      <c r="D1" s="536" t="inlineStr">
        <is>
          <t>Driver</t>
        </is>
      </c>
      <c r="E1" s="537" t="inlineStr">
        <is>
          <t>Status</t>
        </is>
      </c>
      <c r="F1" s="537" t="inlineStr">
        <is>
          <t>Pick</t>
        </is>
      </c>
      <c r="G1" s="537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Format="1" customHeight="1" s="144">
      <c r="A2" s="91" t="n"/>
      <c r="B2" s="92" t="n"/>
      <c r="C2" s="39" t="n"/>
      <c r="D2" s="101" t="n"/>
      <c r="E2" s="440" t="n"/>
      <c r="F2" s="250" t="n"/>
      <c r="G2" s="250" t="n"/>
      <c r="H2" s="232" t="n"/>
      <c r="I2" s="526" t="n"/>
      <c r="J2" s="527" t="n"/>
      <c r="K2" s="437" t="n"/>
      <c r="L2" s="436" t="n"/>
      <c r="M2" s="437">
        <f>SUM(K2:L2)</f>
        <v/>
      </c>
      <c r="N2" s="437" t="n"/>
      <c r="O2" s="112" t="n"/>
      <c r="P2" s="112" t="n"/>
    </row>
    <row r="3" ht="17.25" customFormat="1" customHeight="1" s="112">
      <c r="A3" s="300" t="n"/>
      <c r="B3" s="139" t="n"/>
      <c r="C3" s="140" t="n"/>
      <c r="D3" s="126" t="n"/>
      <c r="E3" s="126" t="n"/>
      <c r="F3" s="127" t="n"/>
      <c r="G3" s="127" t="n"/>
      <c r="H3" s="277" t="n"/>
      <c r="I3" s="520" t="n"/>
      <c r="J3" s="441" t="n"/>
      <c r="K3" s="437" t="n"/>
      <c r="L3" s="436" t="n"/>
      <c r="M3" s="437">
        <f>SUM(K3:L3)</f>
        <v/>
      </c>
      <c r="N3" s="437" t="n"/>
      <c r="O3" s="150" t="n"/>
      <c r="P3" s="150" t="n"/>
    </row>
    <row r="4" ht="17.25" customFormat="1" customHeight="1" s="112">
      <c r="A4" s="300" t="n"/>
      <c r="B4" s="139" t="n"/>
      <c r="C4" s="140" t="n"/>
      <c r="D4" s="538" t="n"/>
      <c r="E4" s="39" t="n"/>
      <c r="F4" s="40" t="n"/>
      <c r="G4" s="40" t="n"/>
      <c r="H4" s="181" t="n"/>
      <c r="I4" s="433" t="n"/>
      <c r="J4" s="438" t="n"/>
      <c r="K4" s="437" t="n"/>
      <c r="L4" s="436" t="n"/>
      <c r="M4" s="437">
        <f>SUM(K4:L4)</f>
        <v/>
      </c>
      <c r="N4" s="437" t="n"/>
      <c r="O4" s="150" t="n"/>
      <c r="P4" s="150" t="n"/>
    </row>
    <row r="5" ht="17.25" customFormat="1" customHeight="1" s="112">
      <c r="A5" s="300" t="n"/>
      <c r="B5" s="139" t="n"/>
      <c r="C5" s="140" t="n"/>
      <c r="D5" s="538" t="n"/>
      <c r="E5" s="39" t="n"/>
      <c r="F5" s="40" t="n"/>
      <c r="G5" s="40" t="n"/>
      <c r="H5" s="181" t="n"/>
      <c r="I5" s="433" t="n"/>
      <c r="J5" s="438" t="n"/>
      <c r="K5" s="437" t="n"/>
      <c r="L5" s="436" t="n"/>
      <c r="M5" s="437">
        <f>SUM(K5:L5)</f>
        <v/>
      </c>
      <c r="N5" s="437" t="n"/>
      <c r="O5" s="150" t="n"/>
      <c r="P5" s="150" t="n"/>
    </row>
    <row r="6" ht="17.25" customFormat="1" customHeight="1" s="275">
      <c r="A6" s="145" t="n"/>
      <c r="B6" s="130" t="n"/>
      <c r="C6" s="93" t="n"/>
      <c r="D6" s="440" t="n"/>
      <c r="F6" s="278" t="n"/>
      <c r="G6" s="278" t="n"/>
      <c r="J6" s="438" t="n"/>
      <c r="K6" s="437" t="n"/>
      <c r="L6" s="436" t="n"/>
      <c r="M6" s="437">
        <f>SUM(K6:L6)</f>
        <v/>
      </c>
      <c r="N6" s="437" t="n"/>
    </row>
    <row r="7" ht="17.25" customFormat="1" customHeight="1" s="112">
      <c r="A7" s="91" t="n"/>
      <c r="B7" s="92" t="n"/>
      <c r="C7" s="39" t="n"/>
      <c r="D7" s="440" t="n"/>
      <c r="E7" s="39" t="n"/>
      <c r="F7" s="40" t="n"/>
      <c r="G7" s="40" t="n"/>
      <c r="H7" s="39" t="n"/>
      <c r="I7" s="438" t="n"/>
      <c r="J7" s="539" t="n"/>
      <c r="K7" s="443" t="n"/>
      <c r="L7" s="444" t="n"/>
      <c r="M7" s="448">
        <f>SUM(K7:L7)</f>
        <v/>
      </c>
      <c r="N7" s="437" t="n"/>
      <c r="O7" s="150" t="n"/>
      <c r="P7" s="150" t="n"/>
    </row>
    <row r="8" ht="17.25" customFormat="1" customHeight="1" s="112">
      <c r="A8" s="101" t="n"/>
      <c r="B8" s="100" t="n"/>
      <c r="C8" s="93" t="n"/>
      <c r="D8" s="540" t="n"/>
      <c r="E8" s="39" t="n"/>
      <c r="F8" s="40" t="n"/>
      <c r="G8" s="40" t="n"/>
      <c r="H8" s="449" t="n"/>
      <c r="I8" s="438" t="n"/>
      <c r="J8" s="438" t="n"/>
      <c r="K8" s="437" t="n"/>
      <c r="L8" s="436" t="n"/>
      <c r="M8" s="437">
        <f>SUM(K8:L8)</f>
        <v/>
      </c>
      <c r="N8" s="437" t="n"/>
      <c r="O8" s="150" t="n"/>
      <c r="P8" s="150" t="n"/>
    </row>
    <row r="9" ht="17.25" customFormat="1" customHeight="1" s="112">
      <c r="A9" s="101" t="n"/>
      <c r="B9" s="100" t="n"/>
      <c r="C9" s="93" t="n"/>
      <c r="D9" s="540" t="n"/>
      <c r="E9" s="39" t="n"/>
      <c r="F9" s="40" t="n"/>
      <c r="G9" s="40" t="n"/>
      <c r="H9" s="449" t="n"/>
      <c r="I9" s="438" t="n"/>
      <c r="J9" s="438" t="n"/>
      <c r="K9" s="437" t="n"/>
      <c r="L9" s="436" t="n"/>
      <c r="M9" s="437">
        <f>SUM(K9:L9)</f>
        <v/>
      </c>
      <c r="N9" s="437" t="n"/>
      <c r="O9" s="150" t="n"/>
      <c r="P9" s="150" t="n"/>
    </row>
    <row r="10" ht="17.25" customFormat="1" customHeight="1" s="112">
      <c r="A10" s="91" t="n"/>
      <c r="B10" s="48" t="n"/>
      <c r="C10" s="93" t="n"/>
      <c r="D10" s="440" t="n"/>
      <c r="E10" s="103" t="n"/>
      <c r="F10" s="40" t="n"/>
      <c r="G10" s="40" t="n"/>
      <c r="H10" s="449" t="n"/>
      <c r="I10" s="438" t="n"/>
      <c r="J10" s="438" t="n"/>
      <c r="K10" s="437" t="n"/>
      <c r="L10" s="436" t="n"/>
      <c r="M10" s="437">
        <f>SUM(K10:L10)</f>
        <v/>
      </c>
      <c r="N10" s="437" t="n"/>
      <c r="O10" s="150" t="n"/>
      <c r="P10" s="150" t="n"/>
    </row>
    <row r="11" ht="17.25" customFormat="1" customHeight="1" s="6">
      <c r="A11" s="91" t="n"/>
      <c r="B11" s="48" t="n"/>
      <c r="C11" s="93" t="n"/>
      <c r="D11" s="440" t="n"/>
      <c r="E11" s="103" t="n"/>
      <c r="F11" s="40" t="n"/>
      <c r="G11" s="40" t="n"/>
      <c r="H11" s="449" t="n"/>
      <c r="I11" s="438" t="n"/>
      <c r="J11" s="441" t="n"/>
      <c r="K11" s="437" t="n"/>
      <c r="L11" s="436" t="n"/>
      <c r="M11" s="437">
        <f>SUM(K11:L11)</f>
        <v/>
      </c>
      <c r="N11" s="437" t="n"/>
      <c r="O11" s="151" t="n"/>
      <c r="P11" s="151" t="n"/>
    </row>
    <row r="12" ht="17.25" customFormat="1" customHeight="1" s="152">
      <c r="A12" s="91" t="n"/>
      <c r="B12" s="48" t="n"/>
      <c r="C12" s="93" t="n"/>
      <c r="D12" s="432" t="n"/>
      <c r="E12" s="103" t="n"/>
      <c r="F12" s="40" t="n"/>
      <c r="G12" s="40" t="n"/>
      <c r="H12" s="449" t="n"/>
      <c r="I12" s="438" t="n"/>
      <c r="J12" s="441" t="n"/>
      <c r="K12" s="437" t="n"/>
      <c r="L12" s="436" t="n"/>
      <c r="M12" s="437">
        <f>SUM(K12:L12)</f>
        <v/>
      </c>
      <c r="N12" s="437" t="n"/>
    </row>
    <row r="13" ht="15.75" customFormat="1" customHeight="1" s="6">
      <c r="A13" s="1" t="n"/>
      <c r="B13" s="52" t="n"/>
      <c r="C13" s="93" t="n"/>
      <c r="D13" s="452" t="n"/>
      <c r="E13" s="87" t="n"/>
      <c r="F13" s="54" t="n"/>
      <c r="G13" s="54" t="n"/>
      <c r="H13" s="53" t="n"/>
      <c r="I13" s="453" t="n"/>
      <c r="J13" s="455" t="n"/>
      <c r="K13" s="451" t="n"/>
      <c r="L13" s="478" t="n"/>
      <c r="M13" s="448">
        <f>SUM(K13:L13)</f>
        <v/>
      </c>
      <c r="N13" s="437" t="n"/>
      <c r="O13" s="151" t="n"/>
      <c r="P13" s="151" t="n"/>
    </row>
    <row r="14" ht="15.75" customFormat="1" customHeight="1" s="6">
      <c r="A14" s="1" t="n"/>
      <c r="B14" s="72" t="n"/>
      <c r="C14" s="73" t="n"/>
      <c r="D14" s="499" t="n"/>
      <c r="E14" s="53" t="n"/>
      <c r="F14" s="54" t="n"/>
      <c r="G14" s="54" t="n"/>
      <c r="H14" s="53" t="n"/>
      <c r="I14" s="453" t="n"/>
      <c r="J14" s="455" t="n"/>
      <c r="K14" s="451" t="n"/>
      <c r="L14" s="478" t="n"/>
      <c r="M14" s="448">
        <f>SUM(K14:L14)</f>
        <v/>
      </c>
      <c r="N14" s="437" t="n"/>
      <c r="O14" s="151" t="n"/>
      <c r="P14" s="151" t="n"/>
    </row>
    <row r="15" ht="15.75" customFormat="1" customHeight="1" s="6">
      <c r="A15" s="1" t="n"/>
      <c r="B15" s="52" t="n"/>
      <c r="C15" s="53" t="n"/>
      <c r="D15" s="499" t="n"/>
      <c r="E15" s="53" t="n"/>
      <c r="F15" s="54" t="n"/>
      <c r="G15" s="54" t="n"/>
      <c r="H15" s="53" t="n"/>
      <c r="I15" s="453" t="n"/>
      <c r="J15" s="455" t="n"/>
      <c r="K15" s="451" t="n"/>
      <c r="L15" s="478" t="n"/>
      <c r="M15" s="448">
        <f>SUM(K15:L15)</f>
        <v/>
      </c>
      <c r="N15" s="437" t="n"/>
      <c r="O15" s="151" t="n"/>
      <c r="P15" s="151" t="n"/>
    </row>
    <row r="16" ht="15.75" customFormat="1" customHeight="1" s="6">
      <c r="A16" s="51" t="n"/>
      <c r="B16" s="52" t="n"/>
      <c r="C16" s="53" t="n"/>
      <c r="D16" s="452" t="n"/>
      <c r="E16" s="53" t="n"/>
      <c r="F16" s="54" t="n"/>
      <c r="G16" s="54" t="n"/>
      <c r="H16" s="457" t="n"/>
      <c r="I16" s="453" t="n"/>
      <c r="J16" s="455" t="n"/>
      <c r="K16" s="451" t="n"/>
      <c r="L16" s="478" t="n"/>
      <c r="M16" s="448">
        <f>SUM(K16:L16)</f>
        <v/>
      </c>
      <c r="N16" s="437" t="n"/>
      <c r="O16" s="151" t="n"/>
      <c r="P16" s="151" t="n"/>
    </row>
    <row r="17" ht="15.75" customHeight="1">
      <c r="A17" s="59" t="n"/>
      <c r="B17" s="52" t="n"/>
      <c r="C17" s="53" t="n"/>
      <c r="D17" s="452" t="n"/>
      <c r="E17" s="53" t="n"/>
      <c r="F17" s="54" t="n"/>
      <c r="G17" s="54" t="n"/>
      <c r="H17" s="53" t="n"/>
      <c r="I17" s="453" t="n"/>
      <c r="J17" s="455" t="n"/>
      <c r="K17" s="451" t="n"/>
      <c r="L17" s="478" t="n"/>
      <c r="M17" s="448">
        <f>SUM(K17:L17)</f>
        <v/>
      </c>
      <c r="N17" s="437" t="n"/>
      <c r="O17" s="153" t="n"/>
      <c r="P17" s="153" t="n"/>
    </row>
    <row r="18" ht="15.75" customHeight="1">
      <c r="A18" s="45" t="n"/>
      <c r="B18" s="48" t="n"/>
      <c r="C18" s="39" t="n"/>
      <c r="D18" s="440" t="n"/>
      <c r="E18" s="39" t="n"/>
      <c r="F18" s="40" t="n"/>
      <c r="G18" s="40" t="n"/>
      <c r="H18" s="39" t="n"/>
      <c r="I18" s="438" t="n"/>
      <c r="J18" s="441" t="n"/>
      <c r="K18" s="437" t="n"/>
      <c r="L18" s="436" t="n"/>
      <c r="M18" s="448">
        <f>SUM(K18:L18)</f>
        <v/>
      </c>
      <c r="N18" s="437" t="n"/>
      <c r="O18" s="153" t="n"/>
      <c r="P18" s="153" t="n"/>
    </row>
    <row r="19" ht="15.75" customHeight="1">
      <c r="A19" s="45" t="n"/>
      <c r="B19" s="46" t="n"/>
      <c r="C19" s="39" t="n"/>
      <c r="D19" s="454" t="n"/>
      <c r="E19" s="39" t="n"/>
      <c r="F19" s="40" t="n"/>
      <c r="G19" s="40" t="n"/>
      <c r="H19" s="39" t="n"/>
      <c r="I19" s="438" t="n"/>
      <c r="J19" s="441" t="n"/>
      <c r="K19" s="437" t="n"/>
      <c r="L19" s="436" t="n"/>
      <c r="M19" s="448">
        <f>SUM(K19:L19)</f>
        <v/>
      </c>
      <c r="N19" s="437" t="n"/>
      <c r="O19" s="153" t="n"/>
      <c r="P19" s="153" t="n"/>
    </row>
    <row r="20" ht="15.75" customHeight="1">
      <c r="A20" s="47" t="n"/>
      <c r="B20" s="48" t="n"/>
      <c r="C20" s="39" t="n"/>
      <c r="D20" s="454" t="n"/>
      <c r="E20" s="39" t="n"/>
      <c r="F20" s="40" t="n"/>
      <c r="G20" s="40" t="n"/>
      <c r="H20" s="39" t="n"/>
      <c r="I20" s="438" t="n"/>
      <c r="J20" s="441" t="n"/>
      <c r="K20" s="437" t="n"/>
      <c r="L20" s="436" t="n"/>
      <c r="M20" s="448">
        <f>SUM(K20:L20)</f>
        <v/>
      </c>
      <c r="N20" s="437" t="n"/>
      <c r="O20" s="153" t="n"/>
      <c r="P20" s="153" t="n"/>
    </row>
    <row r="21" ht="15.75" customHeight="1">
      <c r="A21" s="45" t="n"/>
      <c r="B21" s="46" t="n"/>
      <c r="C21" s="39" t="n"/>
      <c r="D21" s="440" t="n"/>
      <c r="E21" s="39" t="n"/>
      <c r="F21" s="40" t="n"/>
      <c r="G21" s="40" t="n"/>
      <c r="H21" s="39" t="n"/>
      <c r="I21" s="438" t="n"/>
      <c r="J21" s="441" t="n"/>
      <c r="K21" s="437" t="n"/>
      <c r="L21" s="437" t="n"/>
      <c r="M21" s="448">
        <f>SUM(K21:L21)</f>
        <v/>
      </c>
      <c r="N21" s="437" t="n"/>
      <c r="O21" s="153" t="n"/>
      <c r="P21" s="153" t="n"/>
    </row>
    <row r="22" ht="15.75" customHeight="1">
      <c r="A22" s="1" t="n"/>
      <c r="B22" s="8" t="n"/>
      <c r="C22" s="53" t="n"/>
      <c r="D22" s="425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48">
        <f>SUM(K22:L22)</f>
        <v/>
      </c>
      <c r="N22" s="437" t="n"/>
      <c r="O22" s="153" t="n"/>
      <c r="P22" s="153" t="n"/>
    </row>
    <row r="23" ht="15.75" customHeight="1">
      <c r="A23" s="51" t="n"/>
      <c r="B23" s="62" t="n"/>
      <c r="C23" s="53" t="n"/>
      <c r="D23" s="425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48">
        <f>SUM(K23:L23)</f>
        <v/>
      </c>
      <c r="N23" s="437" t="n"/>
      <c r="O23" s="153" t="n"/>
      <c r="P23" s="153" t="n"/>
    </row>
    <row r="24">
      <c r="A24" s="51" t="n"/>
      <c r="B24" s="62" t="n"/>
      <c r="C24" s="53" t="n"/>
      <c r="D24" s="425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48">
        <f>SUM(K24:L24)</f>
        <v/>
      </c>
      <c r="N24" s="437" t="n"/>
      <c r="O24" s="153" t="n"/>
      <c r="P24" s="153" t="n"/>
    </row>
    <row r="25">
      <c r="A25" s="51" t="n"/>
      <c r="B25" s="62" t="n"/>
      <c r="C25" s="53" t="n"/>
      <c r="D25" s="425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48">
        <f>SUM(K25:L25)</f>
        <v/>
      </c>
      <c r="N25" s="437" t="n"/>
      <c r="O25" s="153" t="n"/>
      <c r="P25" s="153" t="n"/>
    </row>
    <row r="26">
      <c r="A26" s="51" t="n"/>
      <c r="B26" s="62" t="n"/>
      <c r="C26" s="53" t="n"/>
      <c r="D26" s="425" t="n"/>
      <c r="E26" s="53" t="n"/>
      <c r="F26" s="61" t="n"/>
      <c r="G26" s="61" t="n"/>
      <c r="H26" s="53" t="n"/>
      <c r="I26" s="453" t="n"/>
      <c r="J26" s="455" t="n"/>
      <c r="K26" s="451" t="n"/>
      <c r="L26" s="451" t="n"/>
      <c r="M26" s="448">
        <f>SUM(K26:L26)</f>
        <v/>
      </c>
      <c r="N26" s="437" t="n"/>
      <c r="O26" s="153" t="n"/>
      <c r="P26" s="153" t="n"/>
    </row>
    <row r="27">
      <c r="A27" s="51" t="n"/>
      <c r="B27" s="62" t="n"/>
      <c r="C27" s="53" t="n"/>
      <c r="D27" s="456" t="n"/>
      <c r="E27" s="53" t="n"/>
      <c r="F27" s="61" t="n"/>
      <c r="G27" s="61" t="n"/>
      <c r="H27" s="53" t="n"/>
      <c r="I27" s="453" t="n"/>
      <c r="J27" s="455" t="n"/>
      <c r="K27" s="451" t="n"/>
      <c r="L27" s="451" t="n"/>
      <c r="M27" s="448">
        <f>SUM(K27:L27)</f>
        <v/>
      </c>
      <c r="N27" s="437" t="n"/>
      <c r="O27" s="153" t="n"/>
      <c r="P27" s="153" t="n"/>
    </row>
    <row r="28">
      <c r="A28" s="51" t="n"/>
      <c r="B28" s="62" t="n"/>
      <c r="C28" s="53" t="n"/>
      <c r="D28" s="53" t="n"/>
      <c r="E28" s="53" t="n"/>
      <c r="F28" s="61" t="n"/>
      <c r="G28" s="61" t="n"/>
      <c r="H28" s="53" t="n"/>
      <c r="I28" s="453" t="n"/>
      <c r="J28" s="455" t="n"/>
      <c r="K28" s="451" t="n"/>
      <c r="L28" s="451" t="n"/>
      <c r="M28" s="448">
        <f>SUM(K28:L28)</f>
        <v/>
      </c>
      <c r="N28" s="437" t="n"/>
      <c r="O28" s="153" t="n"/>
      <c r="P28" s="153" t="n"/>
    </row>
    <row r="29">
      <c r="A29" s="51" t="n"/>
      <c r="B29" s="62" t="n"/>
      <c r="C29" s="53" t="n"/>
      <c r="D29" s="476" t="n"/>
      <c r="E29" s="53" t="n"/>
      <c r="F29" s="61" t="n"/>
      <c r="G29" s="61" t="n"/>
      <c r="H29" s="53" t="n"/>
      <c r="I29" s="453" t="n"/>
      <c r="J29" s="455" t="n"/>
      <c r="K29" s="451" t="n"/>
      <c r="L29" s="451" t="n"/>
      <c r="M29" s="448">
        <f>SUM(K29:L29)</f>
        <v/>
      </c>
      <c r="N29" s="437" t="n"/>
      <c r="O29" s="153" t="n"/>
      <c r="P29" s="153" t="n"/>
    </row>
    <row r="30">
      <c r="A30" s="51" t="n"/>
      <c r="B30" s="62" t="n"/>
      <c r="C30" s="53" t="n"/>
      <c r="D30" s="425" t="n"/>
      <c r="E30" s="53" t="n"/>
      <c r="F30" s="61" t="n"/>
      <c r="G30" s="61" t="n"/>
      <c r="H30" s="53" t="n"/>
      <c r="I30" s="453" t="n"/>
      <c r="J30" s="455" t="n"/>
      <c r="K30" s="451" t="n"/>
      <c r="L30" s="451" t="n"/>
      <c r="M30" s="448">
        <f>SUM(K30:L30)</f>
        <v/>
      </c>
      <c r="N30" s="437" t="n"/>
      <c r="O30" s="153" t="n"/>
      <c r="P30" s="153" t="n"/>
    </row>
    <row r="31">
      <c r="A31" s="51" t="n"/>
      <c r="B31" s="62" t="n"/>
      <c r="C31" s="53" t="n"/>
      <c r="D31" s="147" t="n"/>
      <c r="E31" s="53" t="n"/>
      <c r="F31" s="61" t="n"/>
      <c r="G31" s="61" t="n"/>
      <c r="H31" s="53" t="n"/>
      <c r="I31" s="453" t="n"/>
      <c r="J31" s="455" t="n"/>
      <c r="K31" s="451" t="n"/>
      <c r="L31" s="451" t="n"/>
      <c r="M31" s="448">
        <f>SUM(K31:L31)</f>
        <v/>
      </c>
      <c r="N31" s="437" t="n"/>
      <c r="O31" s="153" t="n"/>
      <c r="P31" s="153" t="n"/>
    </row>
    <row r="32">
      <c r="A32" s="51" t="n"/>
      <c r="B32" s="62" t="n"/>
      <c r="C32" s="53" t="n"/>
      <c r="D32" s="425" t="n"/>
      <c r="E32" s="53" t="n"/>
      <c r="F32" s="61" t="n"/>
      <c r="G32" s="61" t="n"/>
      <c r="H32" s="53" t="n"/>
      <c r="I32" s="453" t="n"/>
      <c r="J32" s="455" t="n"/>
      <c r="K32" s="451" t="n"/>
      <c r="L32" s="451" t="n"/>
      <c r="M32" s="448">
        <f>SUM(K32:L32)</f>
        <v/>
      </c>
      <c r="N32" s="437" t="n"/>
      <c r="O32" s="153" t="n"/>
      <c r="P32" s="153" t="n"/>
    </row>
    <row r="33">
      <c r="A33" s="51" t="n"/>
      <c r="B33" s="62" t="n"/>
      <c r="C33" s="53" t="n"/>
      <c r="D33" s="425" t="n"/>
      <c r="E33" s="53" t="n"/>
      <c r="F33" s="61" t="n"/>
      <c r="G33" s="61" t="n"/>
      <c r="H33" s="53" t="n"/>
      <c r="I33" s="453" t="n"/>
      <c r="J33" s="455" t="n"/>
      <c r="K33" s="451" t="n"/>
      <c r="L33" s="451" t="n"/>
      <c r="M33" s="448">
        <f>SUM(K33:L33)</f>
        <v/>
      </c>
      <c r="N33" s="437" t="n"/>
      <c r="O33" s="153" t="n"/>
      <c r="P33" s="153" t="n"/>
    </row>
    <row r="34">
      <c r="A34" s="51" t="n"/>
      <c r="B34" s="62" t="n"/>
      <c r="C34" s="53" t="n"/>
      <c r="D34" s="456" t="n"/>
      <c r="E34" s="10" t="n"/>
      <c r="F34" s="61" t="n"/>
      <c r="G34" s="61" t="n"/>
      <c r="H34" s="10" t="n"/>
      <c r="I34" s="461" t="n"/>
      <c r="J34" s="458" t="n"/>
      <c r="K34" s="459" t="n"/>
      <c r="L34" s="459" t="n"/>
      <c r="M34" s="448">
        <f>SUM(K34:L34)</f>
        <v/>
      </c>
      <c r="N34" s="437" t="n"/>
      <c r="O34" s="153" t="n"/>
      <c r="P34" s="153" t="n"/>
    </row>
    <row r="35">
      <c r="A35" s="14" t="n"/>
      <c r="B35" s="15" t="n"/>
      <c r="C35" s="10" t="n"/>
      <c r="D35" s="425" t="n"/>
      <c r="E35" s="10" t="n"/>
      <c r="F35" s="61" t="n"/>
      <c r="G35" s="61" t="n"/>
      <c r="H35" s="10" t="n"/>
      <c r="I35" s="461" t="n"/>
      <c r="J35" s="458" t="n"/>
      <c r="K35" s="459" t="n"/>
      <c r="L35" s="459" t="n"/>
      <c r="M35" s="448">
        <f>SUM(K35:L35)</f>
        <v/>
      </c>
      <c r="N35" s="437" t="n"/>
      <c r="O35" s="153" t="n"/>
      <c r="P35" s="153" t="n"/>
    </row>
    <row r="36">
      <c r="A36" s="14" t="n"/>
      <c r="B36" s="15" t="n"/>
      <c r="C36" s="10" t="n"/>
      <c r="D36" s="460" t="n"/>
      <c r="E36" s="10" t="n"/>
      <c r="F36" s="61" t="n"/>
      <c r="G36" s="61" t="n"/>
      <c r="H36" s="10" t="n"/>
      <c r="I36" s="461" t="n"/>
      <c r="J36" s="458" t="n"/>
      <c r="K36" s="459" t="n"/>
      <c r="L36" s="459" t="n"/>
      <c r="M36" s="448">
        <f>SUM(K36:L36)</f>
        <v/>
      </c>
      <c r="N36" s="437" t="n"/>
      <c r="O36" s="153" t="n"/>
      <c r="P36" s="153" t="n"/>
    </row>
    <row r="37">
      <c r="A37" s="14" t="n"/>
      <c r="B37" s="15" t="n"/>
      <c r="C37" s="10" t="n"/>
      <c r="D37" s="460" t="n"/>
      <c r="E37" s="10" t="n"/>
      <c r="F37" s="61" t="n"/>
      <c r="G37" s="61" t="n"/>
      <c r="H37" s="10" t="n"/>
      <c r="I37" s="461" t="n"/>
      <c r="J37" s="458" t="n"/>
      <c r="K37" s="459" t="n"/>
      <c r="L37" s="459" t="n"/>
      <c r="M37" s="448">
        <f>SUM(K37:L37)</f>
        <v/>
      </c>
      <c r="N37" s="437" t="n"/>
    </row>
    <row r="38">
      <c r="A38" s="14" t="n"/>
      <c r="B38" s="15" t="n"/>
      <c r="C38" s="10" t="n"/>
      <c r="D38" s="425" t="n"/>
      <c r="E38" s="10" t="n"/>
      <c r="F38" s="61" t="n"/>
      <c r="G38" s="61" t="n"/>
      <c r="H38" s="10" t="n"/>
      <c r="I38" s="461" t="n"/>
      <c r="J38" s="458" t="n"/>
      <c r="K38" s="459" t="n"/>
      <c r="L38" s="459" t="n"/>
      <c r="M38" s="448">
        <f>SUM(K38:L38)</f>
        <v/>
      </c>
      <c r="N38" s="437" t="n"/>
    </row>
    <row r="39">
      <c r="A39" s="17" t="n"/>
      <c r="B39" s="18" t="n"/>
      <c r="C39" s="10" t="n"/>
      <c r="D39" s="452" t="n"/>
      <c r="E39" s="10" t="n"/>
      <c r="F39" s="61" t="n"/>
      <c r="G39" s="61" t="n"/>
      <c r="H39" s="10" t="n"/>
      <c r="I39" s="461" t="n"/>
      <c r="J39" s="458" t="n"/>
      <c r="K39" s="459" t="n"/>
      <c r="L39" s="459" t="n"/>
      <c r="M39" s="448">
        <f>SUM(K39:L39)</f>
        <v/>
      </c>
      <c r="N39" s="437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9" t="n"/>
      <c r="K40" s="470" t="n"/>
      <c r="L40" s="470" t="n"/>
      <c r="M40" s="472">
        <f>SUM(M2:M39)</f>
        <v/>
      </c>
      <c r="N40" s="472">
        <f>SUM(N2:N39)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9" t="n"/>
      <c r="K41" s="470" t="n"/>
      <c r="L41" s="470" t="n"/>
      <c r="M41" s="473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9" t="n"/>
      <c r="K42" s="470" t="n"/>
      <c r="L42" s="47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35"/>
  <sheetViews>
    <sheetView topLeftCell="C1" workbookViewId="0">
      <selection activeCell="N22" sqref="N22"/>
    </sheetView>
  </sheetViews>
  <sheetFormatPr baseColWidth="8" defaultColWidth="8.75" defaultRowHeight="15"/>
  <cols>
    <col width="9" customWidth="1" style="29" min="1" max="1"/>
    <col width="60.25" customWidth="1" min="3" max="3"/>
    <col width="25.25" customWidth="1" min="4" max="4"/>
    <col width="9" bestFit="1" customWidth="1" style="35" min="5" max="5"/>
    <col width="9" bestFit="1" customWidth="1" min="6" max="7"/>
    <col width="11.5" bestFit="1" customWidth="1" min="8" max="8"/>
    <col width="9.5" customWidth="1" min="9" max="9"/>
    <col width="31.875" customWidth="1" style="423" min="10" max="10"/>
    <col width="9" bestFit="1" customWidth="1" style="424" min="11" max="12"/>
    <col width="15.125" customWidth="1" style="424" min="13" max="13"/>
  </cols>
  <sheetData>
    <row r="1">
      <c r="A1" s="67" t="inlineStr">
        <is>
          <t>Ord No.</t>
        </is>
      </c>
      <c r="B1" s="68" t="inlineStr">
        <is>
          <t>Time</t>
        </is>
      </c>
      <c r="C1" s="68" t="inlineStr">
        <is>
          <t>Trip</t>
        </is>
      </c>
      <c r="D1" s="536" t="inlineStr">
        <is>
          <t>Driver</t>
        </is>
      </c>
      <c r="E1" s="537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Format="1" customHeight="1" s="132">
      <c r="A2" s="144" t="n"/>
      <c r="B2" s="154" t="n"/>
      <c r="C2" s="149" t="n"/>
      <c r="D2" s="440" t="n"/>
      <c r="E2" s="149" t="n"/>
      <c r="F2" s="218" t="n"/>
      <c r="G2" s="218" t="n"/>
      <c r="H2" s="149" t="n"/>
      <c r="I2" s="515" t="n"/>
      <c r="J2" s="485" t="n"/>
      <c r="K2" s="541" t="n"/>
      <c r="L2" s="436" t="n"/>
      <c r="M2" s="437">
        <f>SUM(K2:L2)</f>
        <v/>
      </c>
      <c r="N2" s="437" t="n"/>
      <c r="O2" s="217" t="n"/>
      <c r="P2" s="144" t="n"/>
    </row>
    <row r="3" ht="17.25" customFormat="1" customHeight="1" s="132">
      <c r="A3" s="405" t="n"/>
      <c r="B3" s="324" t="n"/>
      <c r="C3" s="325" t="n"/>
      <c r="D3" s="492" t="n"/>
      <c r="E3" s="325" t="n"/>
      <c r="F3" s="380" t="n"/>
      <c r="G3" s="380" t="n"/>
      <c r="H3" s="325" t="n"/>
      <c r="I3" s="542" t="n"/>
      <c r="J3" s="485" t="n"/>
      <c r="K3" s="543" t="n"/>
      <c r="L3" s="477" t="n"/>
      <c r="M3" s="448">
        <f>SUM(K3:L3)</f>
        <v/>
      </c>
      <c r="N3" s="448" t="n"/>
      <c r="O3" s="407" t="n"/>
      <c r="P3" s="405" t="n"/>
    </row>
    <row r="4" ht="17.25" customFormat="1" customHeight="1" s="112">
      <c r="A4" s="300" t="n"/>
      <c r="B4" s="139" t="n"/>
      <c r="C4" s="140" t="n"/>
      <c r="D4" s="167" t="n"/>
      <c r="E4" s="544" t="n"/>
      <c r="F4" s="142" t="n"/>
      <c r="G4" s="142" t="n"/>
      <c r="H4" s="544" t="n"/>
      <c r="I4" s="545" t="n"/>
      <c r="J4" s="485" t="n"/>
      <c r="K4" s="521" t="n"/>
      <c r="L4" s="522" t="n"/>
      <c r="M4" s="437">
        <f>SUM(K4:L4)</f>
        <v/>
      </c>
      <c r="N4" s="437" t="n"/>
    </row>
    <row r="5" ht="17.25" customFormat="1" customHeight="1" s="112">
      <c r="A5" s="163" t="n"/>
      <c r="B5" s="249" t="n"/>
      <c r="C5" s="200" t="n"/>
      <c r="D5" s="440" t="n"/>
      <c r="E5" s="93" t="n"/>
      <c r="F5" s="113" t="n"/>
      <c r="G5" s="113" t="n"/>
      <c r="H5" s="93" t="n"/>
      <c r="I5" s="433" t="n"/>
      <c r="J5" s="438" t="n"/>
      <c r="K5" s="437" t="n"/>
      <c r="L5" s="436" t="n"/>
      <c r="M5" s="437">
        <f>SUM(K5:L5)</f>
        <v/>
      </c>
      <c r="N5" s="437" t="n"/>
    </row>
    <row r="6" ht="17.25" customFormat="1" customHeight="1" s="112">
      <c r="A6" s="163" t="n"/>
      <c r="B6" s="249" t="n"/>
      <c r="C6" s="93" t="n"/>
      <c r="D6" s="101" t="n"/>
      <c r="E6" s="183" t="n"/>
      <c r="F6" s="133" t="n"/>
      <c r="G6" s="133" t="n"/>
      <c r="H6" s="126" t="n"/>
      <c r="I6" s="513" t="n"/>
      <c r="J6" s="513" t="n"/>
      <c r="K6" s="445" t="n"/>
      <c r="L6" s="522" t="n"/>
      <c r="M6" s="437">
        <f>SUM(K6:L6)</f>
        <v/>
      </c>
      <c r="N6" s="437" t="n"/>
    </row>
    <row r="7" ht="17.25" customFormat="1" customHeight="1" s="112">
      <c r="A7" s="91" t="n"/>
      <c r="B7" s="48" t="n"/>
      <c r="C7" s="93" t="n"/>
      <c r="D7" s="167" t="n"/>
      <c r="E7" s="130" t="n"/>
      <c r="F7" s="40" t="n"/>
      <c r="G7" s="40" t="n"/>
      <c r="H7" s="93" t="n"/>
      <c r="I7" s="438" t="n"/>
      <c r="J7" s="438" t="n"/>
      <c r="K7" s="437" t="n"/>
      <c r="L7" s="436" t="n"/>
      <c r="M7" s="437">
        <f>SUM(K7:L7)</f>
        <v/>
      </c>
      <c r="N7" s="437" t="n"/>
    </row>
    <row r="8" ht="17.25" customFormat="1" customHeight="1" s="112">
      <c r="A8" s="91" t="n"/>
      <c r="B8" s="48" t="n"/>
      <c r="C8" s="93" t="n"/>
      <c r="D8" s="167" t="n"/>
      <c r="E8" s="130" t="n"/>
      <c r="F8" s="40" t="n"/>
      <c r="G8" s="40" t="n"/>
      <c r="H8" s="93" t="n"/>
      <c r="I8" s="438" t="n"/>
      <c r="J8" s="438" t="n"/>
      <c r="K8" s="437" t="n"/>
      <c r="L8" s="436" t="n"/>
      <c r="M8" s="437">
        <f>SUM(K8:L8)</f>
        <v/>
      </c>
      <c r="N8" s="437" t="n"/>
    </row>
    <row r="9" ht="17.25" customFormat="1" customHeight="1" s="112">
      <c r="A9" s="45" t="n"/>
      <c r="B9" s="46" t="n"/>
      <c r="C9" s="39" t="n"/>
      <c r="D9" s="39" t="n"/>
      <c r="E9" s="39" t="n"/>
      <c r="F9" s="40" t="n"/>
      <c r="G9" s="40" t="n"/>
      <c r="H9" s="39" t="n"/>
      <c r="I9" s="438" t="n"/>
      <c r="J9" s="485" t="n"/>
      <c r="K9" s="437" t="n"/>
      <c r="L9" s="436" t="n"/>
      <c r="M9" s="437">
        <f>SUM(K9:L9)</f>
        <v/>
      </c>
      <c r="N9" s="437" t="n"/>
    </row>
    <row r="10" ht="17.25" customFormat="1" customHeight="1" s="112">
      <c r="A10" s="101" t="n"/>
      <c r="B10" s="100" t="n"/>
      <c r="C10" s="39" t="n"/>
      <c r="D10" s="101" t="n"/>
      <c r="E10" s="39" t="n"/>
      <c r="F10" s="40" t="n"/>
      <c r="G10" s="40" t="n"/>
      <c r="H10" s="39" t="n"/>
      <c r="I10" s="438" t="n"/>
      <c r="J10" s="485" t="n"/>
      <c r="K10" s="437" t="n"/>
      <c r="L10" s="436" t="n"/>
      <c r="M10" s="437">
        <f>SUM(K10:L10)</f>
        <v/>
      </c>
      <c r="N10" s="437" t="n"/>
    </row>
    <row r="11" ht="17.25" customFormat="1" customHeight="1" s="112">
      <c r="A11" s="91" t="n"/>
      <c r="B11" s="92" t="n"/>
      <c r="C11" s="39" t="n"/>
      <c r="D11" s="440" t="n"/>
      <c r="E11" s="39" t="n"/>
      <c r="F11" s="40" t="n"/>
      <c r="G11" s="40" t="n"/>
      <c r="H11" s="39" t="n"/>
      <c r="I11" s="438" t="n"/>
      <c r="J11" s="485" t="n"/>
      <c r="K11" s="437" t="n"/>
      <c r="L11" s="436" t="n"/>
      <c r="M11" s="437">
        <f>SUM(K11:L11)</f>
        <v/>
      </c>
      <c r="N11" s="437" t="n"/>
    </row>
    <row r="12" ht="17.25" customHeight="1">
      <c r="A12" s="91" t="n"/>
      <c r="B12" s="48" t="n"/>
      <c r="C12" s="93" t="n"/>
      <c r="D12" s="511" t="n"/>
      <c r="E12" s="39" t="n"/>
      <c r="F12" s="40" t="n"/>
      <c r="G12" s="40" t="n"/>
      <c r="H12" s="39" t="n"/>
      <c r="I12" s="438" t="n"/>
      <c r="J12" s="441" t="n"/>
      <c r="K12" s="437" t="n"/>
      <c r="L12" s="436" t="n"/>
      <c r="M12" s="437">
        <f>SUM(K12:L12)</f>
        <v/>
      </c>
      <c r="N12" s="437" t="n"/>
    </row>
    <row r="13" ht="17.25" customHeight="1">
      <c r="A13" s="91" t="n"/>
      <c r="B13" s="48" t="n"/>
      <c r="C13" s="93" t="n"/>
      <c r="D13" s="440" t="n"/>
      <c r="E13" s="39" t="n"/>
      <c r="F13" s="40" t="n"/>
      <c r="G13" s="40" t="n"/>
      <c r="H13" s="39" t="n"/>
      <c r="I13" s="438" t="n"/>
      <c r="J13" s="441" t="n"/>
      <c r="K13" s="437" t="n"/>
      <c r="L13" s="436" t="n"/>
      <c r="M13" s="437">
        <f>SUM(K13:L13)</f>
        <v/>
      </c>
      <c r="N13" s="437" t="n"/>
    </row>
    <row r="14">
      <c r="A14" s="47" t="n"/>
      <c r="B14" s="48" t="n"/>
      <c r="C14" s="39" t="n"/>
      <c r="D14" s="454" t="n"/>
      <c r="E14" s="39" t="n"/>
      <c r="F14" s="40" t="n"/>
      <c r="G14" s="40" t="n"/>
      <c r="H14" s="39" t="n"/>
      <c r="I14" s="438" t="n"/>
      <c r="J14" s="441" t="n"/>
      <c r="K14" s="437" t="n"/>
      <c r="L14" s="436" t="n"/>
      <c r="M14" s="448">
        <f>SUM(K14:L14)</f>
        <v/>
      </c>
      <c r="N14" s="437" t="n"/>
    </row>
    <row r="15">
      <c r="A15" s="45" t="n"/>
      <c r="B15" s="46" t="n"/>
      <c r="C15" s="39" t="n"/>
      <c r="D15" s="440" t="n"/>
      <c r="E15" s="39" t="n"/>
      <c r="F15" s="40" t="n"/>
      <c r="G15" s="40" t="n"/>
      <c r="H15" s="39" t="n"/>
      <c r="I15" s="438" t="n"/>
      <c r="J15" s="441" t="n"/>
      <c r="K15" s="437" t="n"/>
      <c r="L15" s="437" t="n"/>
      <c r="M15" s="448">
        <f>SUM(K15:L15)</f>
        <v/>
      </c>
      <c r="N15" s="437" t="n"/>
    </row>
    <row r="16">
      <c r="A16" s="1" t="n"/>
      <c r="B16" s="8" t="n"/>
      <c r="C16" s="53" t="n"/>
      <c r="D16" s="425" t="n"/>
      <c r="E16" s="53" t="n"/>
      <c r="F16" s="61" t="n"/>
      <c r="G16" s="61" t="n"/>
      <c r="H16" s="53" t="n"/>
      <c r="I16" s="453" t="n"/>
      <c r="J16" s="455" t="n"/>
      <c r="K16" s="451" t="n"/>
      <c r="L16" s="451" t="n"/>
      <c r="M16" s="448">
        <f>SUM(K16:L16)</f>
        <v/>
      </c>
      <c r="N16" s="437" t="n"/>
    </row>
    <row r="17">
      <c r="A17" s="51" t="n"/>
      <c r="B17" s="62" t="n"/>
      <c r="C17" s="53" t="n"/>
      <c r="D17" s="425" t="n"/>
      <c r="E17" s="53" t="n"/>
      <c r="F17" s="61" t="n"/>
      <c r="G17" s="61" t="n"/>
      <c r="H17" s="53" t="n"/>
      <c r="I17" s="453" t="n"/>
      <c r="J17" s="455" t="n"/>
      <c r="K17" s="451" t="n"/>
      <c r="L17" s="451" t="n"/>
      <c r="M17" s="448">
        <f>SUM(K17:L17)</f>
        <v/>
      </c>
      <c r="N17" s="437" t="n"/>
    </row>
    <row r="18">
      <c r="A18" s="51" t="n"/>
      <c r="B18" s="62" t="n"/>
      <c r="C18" s="53" t="n"/>
      <c r="D18" s="425" t="n"/>
      <c r="E18" s="53" t="n"/>
      <c r="F18" s="61" t="n"/>
      <c r="G18" s="61" t="n"/>
      <c r="H18" s="53" t="n"/>
      <c r="I18" s="453" t="n"/>
      <c r="J18" s="455" t="n"/>
      <c r="K18" s="451" t="n"/>
      <c r="L18" s="451" t="n"/>
      <c r="M18" s="448">
        <f>SUM(K18:L18)</f>
        <v/>
      </c>
      <c r="N18" s="437" t="n"/>
    </row>
    <row r="19">
      <c r="A19" s="51" t="n"/>
      <c r="B19" s="62" t="n"/>
      <c r="C19" s="53" t="n"/>
      <c r="D19" s="425" t="n"/>
      <c r="E19" s="53" t="n"/>
      <c r="F19" s="61" t="n"/>
      <c r="G19" s="61" t="n"/>
      <c r="H19" s="53" t="n"/>
      <c r="I19" s="453" t="n"/>
      <c r="J19" s="455" t="n"/>
      <c r="K19" s="451" t="n"/>
      <c r="L19" s="451" t="n"/>
      <c r="M19" s="448">
        <f>SUM(K19:L19)</f>
        <v/>
      </c>
      <c r="N19" s="437" t="n"/>
    </row>
    <row r="20">
      <c r="A20" s="51" t="n"/>
      <c r="B20" s="62" t="n"/>
      <c r="C20" s="53" t="n"/>
      <c r="D20" s="425" t="n"/>
      <c r="E20" s="53" t="n"/>
      <c r="F20" s="61" t="n"/>
      <c r="G20" s="61" t="n"/>
      <c r="H20" s="53" t="n"/>
      <c r="I20" s="453" t="n"/>
      <c r="J20" s="455" t="n"/>
      <c r="K20" s="451" t="n"/>
      <c r="L20" s="451" t="n"/>
      <c r="M20" s="448">
        <f>SUM(K20:L20)</f>
        <v/>
      </c>
      <c r="N20" s="437" t="n"/>
    </row>
    <row r="21">
      <c r="A21" s="51" t="n"/>
      <c r="B21" s="62" t="n"/>
      <c r="C21" s="53" t="n"/>
      <c r="D21" s="456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48">
        <f>SUM(K21:L21)</f>
        <v/>
      </c>
      <c r="N21" s="437" t="n"/>
    </row>
    <row r="22">
      <c r="A22" s="51" t="n"/>
      <c r="B22" s="62" t="n"/>
      <c r="C22" s="53" t="n"/>
      <c r="D22" s="53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48">
        <f>SUM(K22:L22)</f>
        <v/>
      </c>
      <c r="N22" s="437" t="n"/>
    </row>
    <row r="23">
      <c r="A23" s="51" t="n"/>
      <c r="B23" s="62" t="n"/>
      <c r="C23" s="53" t="n"/>
      <c r="D23" s="425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48">
        <f>SUM(K23:L23)</f>
        <v/>
      </c>
      <c r="N23" s="437" t="n"/>
    </row>
    <row r="24">
      <c r="A24" s="51" t="n"/>
      <c r="B24" s="62" t="n"/>
      <c r="C24" s="53" t="n"/>
      <c r="D24" s="476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48">
        <f>SUM(K24:L24)</f>
        <v/>
      </c>
      <c r="N24" s="437" t="n"/>
    </row>
    <row r="25">
      <c r="A25" s="51" t="n"/>
      <c r="B25" s="62" t="n"/>
      <c r="C25" s="53" t="n"/>
      <c r="D25" s="425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48">
        <f>SUM(K25:L25)</f>
        <v/>
      </c>
      <c r="N25" s="437" t="n"/>
    </row>
    <row r="26">
      <c r="A26" s="51" t="n"/>
      <c r="B26" s="62" t="n"/>
      <c r="C26" s="53" t="n"/>
      <c r="D26" s="9" t="n"/>
      <c r="E26" s="53" t="n"/>
      <c r="F26" s="61" t="n"/>
      <c r="G26" s="61" t="n"/>
      <c r="H26" s="53" t="n"/>
      <c r="I26" s="453" t="n"/>
      <c r="J26" s="455" t="n"/>
      <c r="K26" s="451" t="n"/>
      <c r="L26" s="451" t="n"/>
      <c r="M26" s="448">
        <f>SUM(K26:L26)</f>
        <v/>
      </c>
      <c r="N26" s="437" t="n"/>
    </row>
    <row r="27">
      <c r="A27" s="51" t="n"/>
      <c r="B27" s="62" t="n"/>
      <c r="C27" s="53" t="n"/>
      <c r="D27" s="425" t="n"/>
      <c r="E27" s="53" t="n"/>
      <c r="F27" s="61" t="n"/>
      <c r="G27" s="61" t="n"/>
      <c r="H27" s="53" t="n"/>
      <c r="I27" s="453" t="n"/>
      <c r="J27" s="455" t="n"/>
      <c r="K27" s="451" t="n"/>
      <c r="L27" s="451" t="n"/>
      <c r="M27" s="448">
        <f>SUM(K27:L27)</f>
        <v/>
      </c>
      <c r="N27" s="437" t="n"/>
    </row>
    <row r="28">
      <c r="A28" s="51" t="n"/>
      <c r="B28" s="62" t="n"/>
      <c r="C28" s="53" t="n"/>
      <c r="D28" s="425" t="n"/>
      <c r="E28" s="53" t="n"/>
      <c r="F28" s="61" t="n"/>
      <c r="G28" s="61" t="n"/>
      <c r="H28" s="53" t="n"/>
      <c r="I28" s="453" t="n"/>
      <c r="J28" s="455" t="n"/>
      <c r="K28" s="451" t="n"/>
      <c r="L28" s="451" t="n"/>
      <c r="M28" s="448">
        <f>SUM(K28:L28)</f>
        <v/>
      </c>
      <c r="N28" s="437" t="n"/>
    </row>
    <row r="29">
      <c r="A29" s="51" t="n"/>
      <c r="B29" s="62" t="n"/>
      <c r="C29" s="53" t="n"/>
      <c r="D29" s="456" t="n"/>
      <c r="E29" s="10" t="n"/>
      <c r="F29" s="61" t="n"/>
      <c r="G29" s="61" t="n"/>
      <c r="H29" s="10" t="n"/>
      <c r="I29" s="461" t="n"/>
      <c r="J29" s="458" t="n"/>
      <c r="K29" s="459" t="n"/>
      <c r="L29" s="459" t="n"/>
      <c r="M29" s="448">
        <f>SUM(K29:L29)</f>
        <v/>
      </c>
      <c r="N29" s="437" t="n"/>
    </row>
    <row r="30">
      <c r="A30" s="14" t="n"/>
      <c r="B30" s="15" t="n"/>
      <c r="C30" s="10" t="n"/>
      <c r="D30" s="425" t="n"/>
      <c r="E30" s="10" t="n"/>
      <c r="F30" s="61" t="n"/>
      <c r="G30" s="61" t="n"/>
      <c r="H30" s="10" t="n"/>
      <c r="I30" s="461" t="n"/>
      <c r="J30" s="458" t="n"/>
      <c r="K30" s="459" t="n"/>
      <c r="L30" s="459" t="n"/>
      <c r="M30" s="448">
        <f>SUM(K30:L30)</f>
        <v/>
      </c>
      <c r="N30" s="437" t="n"/>
    </row>
    <row r="31">
      <c r="A31" s="14" t="n"/>
      <c r="B31" s="15" t="n"/>
      <c r="C31" s="10" t="n"/>
      <c r="D31" s="460" t="n"/>
      <c r="E31" s="10" t="n"/>
      <c r="F31" s="61" t="n"/>
      <c r="G31" s="61" t="n"/>
      <c r="H31" s="10" t="n"/>
      <c r="I31" s="461" t="n"/>
      <c r="J31" s="458" t="n"/>
      <c r="K31" s="459" t="n"/>
      <c r="L31" s="459" t="n"/>
      <c r="M31" s="448">
        <f>SUM(K31:L31)</f>
        <v/>
      </c>
      <c r="N31" s="437" t="n"/>
    </row>
    <row r="32">
      <c r="A32" s="14" t="n"/>
      <c r="B32" s="15" t="n"/>
      <c r="C32" s="10" t="n"/>
      <c r="D32" s="460" t="n"/>
      <c r="E32" s="10" t="n"/>
      <c r="F32" s="61" t="n"/>
      <c r="G32" s="61" t="n"/>
      <c r="H32" s="10" t="n"/>
      <c r="I32" s="461" t="n"/>
      <c r="J32" s="458" t="n"/>
      <c r="K32" s="459" t="n"/>
      <c r="L32" s="459" t="n"/>
      <c r="M32" s="448">
        <f>SUM(K32:L32)</f>
        <v/>
      </c>
      <c r="N32" s="437" t="n"/>
    </row>
    <row r="33">
      <c r="A33" s="14" t="n"/>
      <c r="B33" s="15" t="n"/>
      <c r="C33" s="10" t="n"/>
      <c r="D33" s="425" t="n"/>
      <c r="E33" s="10" t="n"/>
      <c r="F33" s="61" t="n"/>
      <c r="G33" s="61" t="n"/>
      <c r="H33" s="10" t="n"/>
      <c r="I33" s="461" t="n"/>
      <c r="J33" s="458" t="n"/>
      <c r="K33" s="459" t="n"/>
      <c r="L33" s="459" t="n"/>
      <c r="M33" s="448">
        <f>SUM(K33:L33)</f>
        <v/>
      </c>
      <c r="N33" s="437" t="n"/>
    </row>
    <row r="34">
      <c r="A34" s="17" t="n"/>
      <c r="B34" s="18" t="n"/>
      <c r="C34" s="10" t="n"/>
      <c r="D34" s="452" t="n"/>
      <c r="E34" s="10" t="n"/>
      <c r="F34" s="61" t="n"/>
      <c r="G34" s="61" t="n"/>
      <c r="H34" s="10" t="n"/>
      <c r="I34" s="461" t="n"/>
      <c r="J34" s="458" t="n"/>
      <c r="K34" s="459" t="n"/>
      <c r="L34" s="459" t="n"/>
      <c r="M34" s="448">
        <f>SUM(K34:L34)</f>
        <v/>
      </c>
      <c r="N34" s="437" t="n"/>
    </row>
    <row r="35">
      <c r="A35" s="17" t="n"/>
      <c r="B35" s="18" t="n"/>
      <c r="C35" s="10" t="n"/>
      <c r="D35" s="452" t="n"/>
      <c r="E35" s="10" t="n"/>
      <c r="F35" s="61" t="n"/>
      <c r="G35" s="61" t="n"/>
      <c r="H35" s="10" t="n"/>
      <c r="I35" s="461" t="n"/>
      <c r="J35" s="458" t="n"/>
      <c r="K35" s="459" t="n"/>
      <c r="L35" s="459" t="n"/>
      <c r="M35" s="448">
        <f>SUM(K35:L35)</f>
        <v/>
      </c>
      <c r="N35" s="437" t="n"/>
    </row>
    <row r="36">
      <c r="A36" s="17" t="n"/>
      <c r="B36" s="18" t="n"/>
      <c r="C36" s="10" t="n"/>
      <c r="D36" s="452" t="n"/>
      <c r="E36" s="10" t="n"/>
      <c r="F36" s="61" t="n"/>
      <c r="G36" s="61" t="n"/>
      <c r="H36" s="10" t="n"/>
      <c r="I36" s="461" t="n"/>
      <c r="J36" s="458" t="n"/>
      <c r="K36" s="459" t="n"/>
      <c r="L36" s="459" t="n"/>
      <c r="M36" s="448">
        <f>SUM(K36:L36)</f>
        <v/>
      </c>
      <c r="N36" s="437" t="n"/>
    </row>
    <row r="37">
      <c r="A37" s="14" t="n"/>
      <c r="B37" s="15" t="n"/>
      <c r="C37" s="10" t="n"/>
      <c r="D37" s="476" t="n"/>
      <c r="E37" s="10" t="n"/>
      <c r="F37" s="61" t="n"/>
      <c r="G37" s="61" t="n"/>
      <c r="H37" s="10" t="n"/>
      <c r="I37" s="461" t="n"/>
      <c r="J37" s="458" t="n"/>
      <c r="K37" s="459" t="n"/>
      <c r="L37" s="459" t="n"/>
      <c r="M37" s="448">
        <f>SUM(K37:L37)</f>
        <v/>
      </c>
      <c r="N37" s="437" t="n"/>
    </row>
    <row r="38">
      <c r="A38" s="51" t="n"/>
      <c r="B38" s="62" t="n"/>
      <c r="C38" s="53" t="n"/>
      <c r="D38" s="425" t="n"/>
      <c r="E38" s="53" t="n"/>
      <c r="F38" s="62" t="n"/>
      <c r="G38" s="62" t="n"/>
      <c r="H38" s="53" t="n"/>
      <c r="I38" s="453" t="n"/>
      <c r="J38" s="455" t="n"/>
      <c r="K38" s="451" t="n"/>
      <c r="L38" s="451" t="n"/>
      <c r="M38" s="448">
        <f>SUM(K38:L38)</f>
        <v/>
      </c>
      <c r="N38" s="437" t="n"/>
    </row>
    <row r="39">
      <c r="A39" s="20" t="n"/>
      <c r="B39" s="21" t="n"/>
      <c r="C39" s="22" t="n"/>
      <c r="D39" s="21" t="n"/>
      <c r="E39" s="34" t="n"/>
      <c r="F39" s="21" t="n"/>
      <c r="G39" s="21" t="n"/>
      <c r="H39" s="21" t="n"/>
      <c r="I39" s="465" t="n"/>
      <c r="J39" s="469" t="n"/>
      <c r="K39" s="470" t="n"/>
      <c r="L39" s="470" t="n"/>
      <c r="M39" s="470" t="n"/>
      <c r="N39" s="437" t="n"/>
    </row>
    <row r="40">
      <c r="A40" s="20" t="n"/>
      <c r="B40" s="21" t="n"/>
      <c r="C40" s="22" t="n"/>
      <c r="D40" s="21" t="n"/>
      <c r="E40" s="34" t="n"/>
      <c r="F40" s="21" t="n"/>
      <c r="G40" s="21" t="n"/>
      <c r="H40" s="21" t="n"/>
      <c r="I40" s="465" t="n"/>
      <c r="J40" s="469" t="n"/>
      <c r="K40" s="470" t="n"/>
      <c r="L40" s="470" t="n"/>
      <c r="M40" s="470">
        <f>SUM(M2:M39)</f>
        <v/>
      </c>
      <c r="N40" s="546">
        <f>SUM(N2:N39)</f>
        <v/>
      </c>
    </row>
    <row r="41">
      <c r="A41" s="20" t="n"/>
      <c r="B41" s="21" t="n"/>
      <c r="C41" s="22" t="n"/>
      <c r="D41" s="21" t="n"/>
      <c r="E41" s="34" t="n"/>
      <c r="F41" s="21" t="n"/>
      <c r="G41" s="21" t="n"/>
      <c r="H41" s="21" t="n"/>
      <c r="J41" s="469" t="n"/>
      <c r="K41" s="470" t="n"/>
      <c r="L41" s="470" t="n"/>
      <c r="M41" s="472" t="n"/>
      <c r="N41" s="472" t="n"/>
    </row>
    <row r="42">
      <c r="A42" s="20" t="n"/>
      <c r="B42" s="21" t="n"/>
      <c r="C42" s="22" t="n"/>
      <c r="D42" s="21" t="n"/>
      <c r="E42" s="34" t="n"/>
      <c r="F42" s="21" t="n"/>
      <c r="G42" s="21" t="n"/>
      <c r="H42" s="21" t="n"/>
      <c r="J42" s="469" t="n"/>
      <c r="K42" s="470" t="n"/>
      <c r="L42" s="470" t="n"/>
      <c r="M42" s="473" t="n"/>
    </row>
    <row r="43">
      <c r="A43" s="20" t="n"/>
      <c r="B43" s="21" t="n"/>
      <c r="C43" s="22" t="n"/>
      <c r="D43" s="21" t="n"/>
      <c r="E43" s="34" t="n"/>
      <c r="F43" s="21" t="n"/>
      <c r="G43" s="21" t="n"/>
      <c r="H43" s="21" t="n"/>
      <c r="J43" s="469" t="n"/>
      <c r="K43" s="470" t="n"/>
      <c r="L43" s="47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  <row r="135">
      <c r="C135" s="30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133"/>
  <sheetViews>
    <sheetView workbookViewId="0">
      <selection activeCell="A40" sqref="A40"/>
    </sheetView>
  </sheetViews>
  <sheetFormatPr baseColWidth="8" defaultColWidth="8.75" defaultRowHeight="15"/>
  <cols>
    <col width="9" customWidth="1" style="29" min="1" max="1"/>
    <col width="56" customWidth="1" min="3" max="3"/>
    <col width="25.25" customWidth="1" min="4" max="4"/>
    <col width="9" bestFit="1" customWidth="1" min="5" max="7"/>
    <col width="11.5" bestFit="1" customWidth="1" min="8" max="8"/>
    <col width="9.5" customWidth="1" min="9" max="9"/>
    <col width="31.875" customWidth="1" style="423" min="10" max="10"/>
    <col width="9" bestFit="1" customWidth="1" style="424" min="11" max="12"/>
    <col width="15.125" customWidth="1" style="424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5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Format="1" customHeight="1" s="146">
      <c r="A2" s="91" t="n"/>
      <c r="B2" s="92" t="n"/>
      <c r="C2" s="101" t="n"/>
      <c r="D2" s="528" t="n"/>
      <c r="E2" s="39" t="n"/>
      <c r="F2" s="40" t="n"/>
      <c r="G2" s="40" t="n"/>
      <c r="H2" s="39" t="n"/>
      <c r="I2" s="438" t="n"/>
      <c r="J2" s="507" t="n"/>
      <c r="K2" s="443" t="n"/>
      <c r="L2" s="444" t="n"/>
      <c r="M2" s="437">
        <f>SUM(K2:L2)</f>
        <v/>
      </c>
      <c r="N2" s="437" t="n"/>
    </row>
    <row r="3" ht="17.25" customFormat="1" customHeight="1" s="146">
      <c r="A3" s="91" t="n"/>
      <c r="B3" s="92" t="n"/>
      <c r="C3" s="101" t="n"/>
      <c r="D3" s="440" t="n"/>
      <c r="E3" s="39" t="n"/>
      <c r="F3" s="40" t="n"/>
      <c r="G3" s="40" t="n"/>
      <c r="H3" s="39" t="n"/>
      <c r="I3" s="438" t="n"/>
      <c r="J3" s="438" t="n"/>
      <c r="K3" s="448" t="n"/>
      <c r="L3" s="477" t="n"/>
      <c r="M3" s="448">
        <f>SUM(K3:L3)</f>
        <v/>
      </c>
      <c r="N3" s="437" t="n"/>
    </row>
    <row r="4" ht="17.25" customFormat="1" customHeight="1" s="112">
      <c r="A4" s="91" t="n"/>
      <c r="B4" s="92" t="n"/>
      <c r="C4" s="101" t="n"/>
      <c r="D4" s="440" t="n"/>
      <c r="E4" s="39" t="n"/>
      <c r="F4" s="40" t="n"/>
      <c r="G4" s="40" t="n"/>
      <c r="H4" s="39" t="n"/>
      <c r="I4" s="438" t="n"/>
      <c r="J4" s="485" t="n"/>
      <c r="K4" s="437" t="n"/>
      <c r="L4" s="436" t="n"/>
      <c r="M4" s="437">
        <f>SUM(K4:L4)</f>
        <v/>
      </c>
      <c r="N4" s="437" t="n"/>
    </row>
    <row r="5" ht="17.25" customFormat="1" customHeight="1" s="112">
      <c r="A5" s="91" t="n"/>
      <c r="B5" s="48" t="n"/>
      <c r="C5" s="93" t="n"/>
      <c r="D5" s="440" t="n"/>
      <c r="E5" s="39" t="n"/>
      <c r="F5" s="40" t="n"/>
      <c r="G5" s="40" t="n"/>
      <c r="H5" s="39" t="n"/>
      <c r="I5" s="438" t="n"/>
      <c r="J5" s="485" t="n"/>
      <c r="K5" s="448" t="n"/>
      <c r="L5" s="477" t="n"/>
      <c r="M5" s="448">
        <f>SUM(K5:L5)</f>
        <v/>
      </c>
      <c r="N5" s="437" t="n"/>
    </row>
    <row r="6" ht="17.25" customHeight="1">
      <c r="A6" s="91" t="n"/>
      <c r="B6" s="92" t="n"/>
      <c r="C6" s="101" t="n"/>
      <c r="D6" s="440" t="n"/>
      <c r="E6" s="39" t="n"/>
      <c r="F6" s="40" t="n"/>
      <c r="G6" s="40" t="n"/>
      <c r="H6" s="39" t="n"/>
      <c r="I6" s="438" t="n"/>
      <c r="J6" s="485" t="n"/>
      <c r="K6" s="437" t="n"/>
      <c r="L6" s="436" t="n"/>
      <c r="M6" s="437">
        <f>SUM(K6:L6)</f>
        <v/>
      </c>
      <c r="N6" s="437" t="n"/>
    </row>
    <row r="7" ht="17.25" customHeight="1">
      <c r="A7" s="91" t="n"/>
      <c r="B7" s="92" t="n"/>
      <c r="C7" s="101" t="n"/>
      <c r="D7" s="440" t="n"/>
      <c r="E7" s="39" t="n"/>
      <c r="F7" s="40" t="n"/>
      <c r="G7" s="40" t="n"/>
      <c r="H7" s="39" t="n"/>
      <c r="I7" s="438" t="n"/>
      <c r="J7" s="485" t="n"/>
      <c r="K7" s="448" t="n"/>
      <c r="L7" s="477" t="n"/>
      <c r="M7" s="448">
        <f>SUM(K7:L7)</f>
        <v/>
      </c>
      <c r="N7" s="437" t="n"/>
    </row>
    <row r="8" ht="17.25" customHeight="1">
      <c r="A8" s="91" t="n"/>
      <c r="B8" s="92" t="n"/>
      <c r="C8" s="101" t="n"/>
      <c r="D8" s="440" t="n"/>
      <c r="E8" s="39" t="n"/>
      <c r="F8" s="40" t="n"/>
      <c r="G8" s="40" t="n"/>
      <c r="H8" s="39" t="n"/>
      <c r="I8" s="438" t="n"/>
      <c r="J8" s="485" t="n"/>
      <c r="K8" s="437" t="n"/>
      <c r="L8" s="436" t="n"/>
      <c r="M8" s="437">
        <f>SUM(K8:L8)</f>
        <v/>
      </c>
      <c r="N8" s="437" t="n"/>
    </row>
    <row r="9" ht="17.25" customHeight="1">
      <c r="A9" s="91" t="n"/>
      <c r="B9" s="92" t="n"/>
      <c r="C9" s="101" t="n"/>
      <c r="D9" s="440" t="n"/>
      <c r="E9" s="39" t="n"/>
      <c r="F9" s="40" t="n"/>
      <c r="G9" s="40" t="n"/>
      <c r="H9" s="39" t="n"/>
      <c r="I9" s="438" t="n"/>
      <c r="J9" s="485" t="n"/>
      <c r="K9" s="437" t="n"/>
      <c r="L9" s="436" t="n"/>
      <c r="M9" s="437">
        <f>SUM(K9:L9)</f>
        <v/>
      </c>
      <c r="N9" s="437" t="n"/>
    </row>
    <row r="10" ht="17.25" customHeight="1">
      <c r="A10" s="91" t="n"/>
      <c r="B10" s="164" t="n"/>
      <c r="C10" s="167" t="n"/>
      <c r="D10" s="440" t="n"/>
      <c r="E10" s="39" t="n"/>
      <c r="F10" s="40" t="n"/>
      <c r="G10" s="40" t="n"/>
      <c r="H10" s="39" t="n"/>
      <c r="I10" s="438" t="n"/>
      <c r="J10" s="485" t="n"/>
      <c r="K10" s="437" t="n"/>
      <c r="L10" s="436" t="n"/>
      <c r="M10" s="437">
        <f>SUM(K10:L10)</f>
        <v/>
      </c>
      <c r="N10" s="437" t="n"/>
    </row>
    <row r="11" ht="17.25" customHeight="1">
      <c r="A11" s="91" t="n"/>
      <c r="B11" s="164" t="n"/>
      <c r="C11" s="167" t="n"/>
      <c r="D11" s="440" t="n"/>
      <c r="E11" s="39" t="n"/>
      <c r="F11" s="40" t="n"/>
      <c r="G11" s="40" t="n"/>
      <c r="H11" s="39" t="n"/>
      <c r="I11" s="438" t="n"/>
      <c r="J11" s="485" t="n"/>
      <c r="K11" s="437" t="n"/>
      <c r="L11" s="436" t="n"/>
      <c r="M11" s="437">
        <f>SUM(K11:L11)</f>
        <v/>
      </c>
      <c r="N11" s="437" t="n"/>
    </row>
    <row r="12">
      <c r="A12" s="47" t="n"/>
      <c r="B12" s="48" t="n"/>
      <c r="C12" s="39" t="n"/>
      <c r="D12" s="454" t="n"/>
      <c r="E12" s="39" t="n"/>
      <c r="F12" s="40" t="n"/>
      <c r="G12" s="40" t="n"/>
      <c r="H12" s="39" t="n"/>
      <c r="I12" s="438" t="n"/>
      <c r="J12" s="441" t="n"/>
      <c r="K12" s="437" t="n"/>
      <c r="L12" s="436" t="n"/>
      <c r="M12" s="448">
        <f>SUM(K12:L12)</f>
        <v/>
      </c>
      <c r="N12" s="437" t="n"/>
    </row>
    <row r="13">
      <c r="A13" s="45" t="n"/>
      <c r="B13" s="46" t="n"/>
      <c r="C13" s="39" t="n"/>
      <c r="D13" s="440" t="n"/>
      <c r="E13" s="39" t="n"/>
      <c r="F13" s="40" t="n"/>
      <c r="G13" s="40" t="n"/>
      <c r="H13" s="39" t="n"/>
      <c r="I13" s="438" t="n"/>
      <c r="J13" s="441" t="n"/>
      <c r="K13" s="437" t="n"/>
      <c r="L13" s="437" t="n"/>
      <c r="M13" s="448">
        <f>SUM(K13:L13)</f>
        <v/>
      </c>
      <c r="N13" s="437" t="n"/>
    </row>
    <row r="14">
      <c r="A14" s="1" t="n"/>
      <c r="B14" s="8" t="n"/>
      <c r="C14" s="53" t="n"/>
      <c r="D14" s="425" t="n"/>
      <c r="E14" s="53" t="n"/>
      <c r="F14" s="61" t="n"/>
      <c r="G14" s="61" t="n"/>
      <c r="H14" s="53" t="n"/>
      <c r="I14" s="453" t="n"/>
      <c r="J14" s="455" t="n"/>
      <c r="K14" s="451" t="n"/>
      <c r="L14" s="451" t="n"/>
      <c r="M14" s="448">
        <f>SUM(K14:L14)</f>
        <v/>
      </c>
      <c r="N14" s="437" t="n"/>
    </row>
    <row r="15">
      <c r="A15" s="51" t="n"/>
      <c r="B15" s="62" t="n"/>
      <c r="C15" s="53" t="n"/>
      <c r="D15" s="425" t="n"/>
      <c r="E15" s="53" t="n"/>
      <c r="F15" s="61" t="n"/>
      <c r="G15" s="61" t="n"/>
      <c r="H15" s="53" t="n"/>
      <c r="I15" s="453" t="n"/>
      <c r="J15" s="455" t="n"/>
      <c r="K15" s="451" t="n"/>
      <c r="L15" s="451" t="n"/>
      <c r="M15" s="448">
        <f>SUM(K15:L15)</f>
        <v/>
      </c>
      <c r="N15" s="437" t="n"/>
    </row>
    <row r="16">
      <c r="A16" s="51" t="n"/>
      <c r="B16" s="62" t="n"/>
      <c r="C16" s="53" t="n"/>
      <c r="D16" s="425" t="n"/>
      <c r="E16" s="53" t="n"/>
      <c r="F16" s="61" t="n"/>
      <c r="G16" s="61" t="n"/>
      <c r="H16" s="53" t="n"/>
      <c r="I16" s="453" t="n"/>
      <c r="J16" s="455" t="n"/>
      <c r="K16" s="451" t="n"/>
      <c r="L16" s="451" t="n"/>
      <c r="M16" s="448">
        <f>SUM(K16:L16)</f>
        <v/>
      </c>
      <c r="N16" s="437" t="n"/>
    </row>
    <row r="17">
      <c r="A17" s="51" t="n"/>
      <c r="B17" s="62" t="n"/>
      <c r="C17" s="53" t="n"/>
      <c r="D17" s="425" t="n"/>
      <c r="E17" s="53" t="n"/>
      <c r="F17" s="61" t="n"/>
      <c r="G17" s="61" t="n"/>
      <c r="H17" s="53" t="n"/>
      <c r="I17" s="453" t="n"/>
      <c r="J17" s="455" t="n"/>
      <c r="K17" s="451" t="n"/>
      <c r="L17" s="451" t="n"/>
      <c r="M17" s="448">
        <f>SUM(K17:L17)</f>
        <v/>
      </c>
      <c r="N17" s="437" t="n"/>
    </row>
    <row r="18">
      <c r="A18" s="51" t="n"/>
      <c r="B18" s="62" t="n"/>
      <c r="C18" s="53" t="n"/>
      <c r="D18" s="425" t="n"/>
      <c r="E18" s="53" t="n"/>
      <c r="F18" s="61" t="n"/>
      <c r="G18" s="61" t="n"/>
      <c r="H18" s="53" t="n"/>
      <c r="I18" s="453" t="n"/>
      <c r="J18" s="455" t="n"/>
      <c r="K18" s="451" t="n"/>
      <c r="L18" s="451" t="n"/>
      <c r="M18" s="448">
        <f>SUM(K18:L18)</f>
        <v/>
      </c>
      <c r="N18" s="437" t="n"/>
    </row>
    <row r="19">
      <c r="A19" s="51" t="n"/>
      <c r="B19" s="62" t="n"/>
      <c r="C19" s="53" t="n"/>
      <c r="D19" s="456" t="n"/>
      <c r="E19" s="53" t="n"/>
      <c r="F19" s="61" t="n"/>
      <c r="G19" s="61" t="n"/>
      <c r="H19" s="53" t="n"/>
      <c r="I19" s="453" t="n"/>
      <c r="J19" s="455" t="n"/>
      <c r="K19" s="451" t="n"/>
      <c r="L19" s="451" t="n"/>
      <c r="M19" s="448">
        <f>SUM(K19:L19)</f>
        <v/>
      </c>
      <c r="N19" s="437" t="n"/>
    </row>
    <row r="20">
      <c r="A20" s="51" t="n"/>
      <c r="B20" s="62" t="n"/>
      <c r="C20" s="53" t="n"/>
      <c r="D20" s="53" t="n"/>
      <c r="E20" s="53" t="n"/>
      <c r="F20" s="61" t="n"/>
      <c r="G20" s="61" t="n"/>
      <c r="H20" s="53" t="n"/>
      <c r="I20" s="453" t="n"/>
      <c r="J20" s="455" t="n"/>
      <c r="K20" s="451" t="n"/>
      <c r="L20" s="451" t="n"/>
      <c r="M20" s="448">
        <f>SUM(K20:L20)</f>
        <v/>
      </c>
      <c r="N20" s="437" t="n"/>
    </row>
    <row r="21">
      <c r="A21" s="51" t="n"/>
      <c r="B21" s="62" t="n"/>
      <c r="C21" s="53" t="n"/>
      <c r="D21" s="425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48">
        <f>SUM(K21:L21)</f>
        <v/>
      </c>
      <c r="N21" s="437" t="n"/>
    </row>
    <row r="22">
      <c r="A22" s="51" t="n"/>
      <c r="B22" s="62" t="n"/>
      <c r="C22" s="53" t="n"/>
      <c r="D22" s="476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48">
        <f>SUM(K22:L22)</f>
        <v/>
      </c>
      <c r="N22" s="437" t="n"/>
    </row>
    <row r="23">
      <c r="A23" s="51" t="n"/>
      <c r="B23" s="62" t="n"/>
      <c r="C23" s="53" t="n"/>
      <c r="D23" s="425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48">
        <f>SUM(K23:L23)</f>
        <v/>
      </c>
      <c r="N23" s="437" t="n"/>
    </row>
    <row r="24">
      <c r="A24" s="51" t="n"/>
      <c r="B24" s="62" t="n"/>
      <c r="C24" s="53" t="n"/>
      <c r="D24" s="9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48">
        <f>SUM(K24:L24)</f>
        <v/>
      </c>
      <c r="N24" s="437" t="n"/>
    </row>
    <row r="25">
      <c r="A25" s="51" t="n"/>
      <c r="B25" s="62" t="n"/>
      <c r="C25" s="53" t="n"/>
      <c r="D25" s="425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48">
        <f>SUM(K25:L25)</f>
        <v/>
      </c>
      <c r="N25" s="437" t="n"/>
    </row>
    <row r="26">
      <c r="A26" s="51" t="n"/>
      <c r="B26" s="62" t="n"/>
      <c r="C26" s="53" t="n"/>
      <c r="D26" s="425" t="n"/>
      <c r="E26" s="53" t="n"/>
      <c r="F26" s="61" t="n"/>
      <c r="G26" s="61" t="n"/>
      <c r="H26" s="53" t="n"/>
      <c r="I26" s="453" t="n"/>
      <c r="J26" s="455" t="n"/>
      <c r="K26" s="451" t="n"/>
      <c r="L26" s="451" t="n"/>
      <c r="M26" s="448">
        <f>SUM(K26:L26)</f>
        <v/>
      </c>
      <c r="N26" s="437" t="n"/>
    </row>
    <row r="27">
      <c r="A27" s="51" t="n"/>
      <c r="B27" s="62" t="n"/>
      <c r="C27" s="53" t="n"/>
      <c r="D27" s="456" t="n"/>
      <c r="E27" s="10" t="n"/>
      <c r="F27" s="61" t="n"/>
      <c r="G27" s="61" t="n"/>
      <c r="H27" s="10" t="n"/>
      <c r="I27" s="461" t="n"/>
      <c r="J27" s="458" t="n"/>
      <c r="K27" s="459" t="n"/>
      <c r="L27" s="459" t="n"/>
      <c r="M27" s="448">
        <f>SUM(K27:L27)</f>
        <v/>
      </c>
      <c r="N27" s="437" t="n"/>
    </row>
    <row r="28">
      <c r="A28" s="14" t="n"/>
      <c r="B28" s="15" t="n"/>
      <c r="C28" s="10" t="n"/>
      <c r="D28" s="425" t="n"/>
      <c r="E28" s="10" t="n"/>
      <c r="F28" s="61" t="n"/>
      <c r="G28" s="61" t="n"/>
      <c r="H28" s="10" t="n"/>
      <c r="I28" s="461" t="n"/>
      <c r="J28" s="458" t="n"/>
      <c r="K28" s="459" t="n"/>
      <c r="L28" s="459" t="n"/>
      <c r="M28" s="448">
        <f>SUM(K28:L28)</f>
        <v/>
      </c>
      <c r="N28" s="437" t="n"/>
    </row>
    <row r="29">
      <c r="A29" s="14" t="n"/>
      <c r="B29" s="15" t="n"/>
      <c r="C29" s="10" t="n"/>
      <c r="D29" s="460" t="n"/>
      <c r="E29" s="10" t="n"/>
      <c r="F29" s="61" t="n"/>
      <c r="G29" s="61" t="n"/>
      <c r="H29" s="10" t="n"/>
      <c r="I29" s="461" t="n"/>
      <c r="J29" s="458" t="n"/>
      <c r="K29" s="459" t="n"/>
      <c r="L29" s="459" t="n"/>
      <c r="M29" s="448">
        <f>SUM(K29:L29)</f>
        <v/>
      </c>
      <c r="N29" s="437" t="n"/>
    </row>
    <row r="30">
      <c r="A30" s="14" t="n"/>
      <c r="B30" s="15" t="n"/>
      <c r="C30" s="10" t="n"/>
      <c r="D30" s="460" t="n"/>
      <c r="E30" s="10" t="n"/>
      <c r="F30" s="61" t="n"/>
      <c r="G30" s="61" t="n"/>
      <c r="H30" s="10" t="n"/>
      <c r="I30" s="461" t="n"/>
      <c r="J30" s="458" t="n"/>
      <c r="K30" s="459" t="n"/>
      <c r="L30" s="459" t="n"/>
      <c r="M30" s="448">
        <f>SUM(K30:L30)</f>
        <v/>
      </c>
      <c r="N30" s="437" t="n"/>
    </row>
    <row r="31">
      <c r="A31" s="14" t="n"/>
      <c r="B31" s="15" t="n"/>
      <c r="C31" s="10" t="n"/>
      <c r="D31" s="425" t="n"/>
      <c r="E31" s="10" t="n"/>
      <c r="F31" s="61" t="n"/>
      <c r="G31" s="61" t="n"/>
      <c r="H31" s="10" t="n"/>
      <c r="I31" s="461" t="n"/>
      <c r="J31" s="458" t="n"/>
      <c r="K31" s="459" t="n"/>
      <c r="L31" s="459" t="n"/>
      <c r="M31" s="448">
        <f>SUM(K31:L31)</f>
        <v/>
      </c>
      <c r="N31" s="437" t="n"/>
    </row>
    <row r="32">
      <c r="A32" s="17" t="n"/>
      <c r="B32" s="18" t="n"/>
      <c r="C32" s="10" t="n"/>
      <c r="D32" s="452" t="n"/>
      <c r="E32" s="10" t="n"/>
      <c r="F32" s="61" t="n"/>
      <c r="G32" s="61" t="n"/>
      <c r="H32" s="10" t="n"/>
      <c r="I32" s="461" t="n"/>
      <c r="J32" s="458" t="n"/>
      <c r="K32" s="459" t="n"/>
      <c r="L32" s="459" t="n"/>
      <c r="M32" s="448">
        <f>SUM(K32:L32)</f>
        <v/>
      </c>
      <c r="N32" s="437" t="n"/>
    </row>
    <row r="33">
      <c r="A33" s="17" t="n"/>
      <c r="B33" s="18" t="n"/>
      <c r="C33" s="10" t="n"/>
      <c r="D33" s="452" t="n"/>
      <c r="E33" s="10" t="n"/>
      <c r="F33" s="61" t="n"/>
      <c r="G33" s="61" t="n"/>
      <c r="H33" s="10" t="n"/>
      <c r="I33" s="461" t="n"/>
      <c r="J33" s="458" t="n"/>
      <c r="K33" s="459" t="n"/>
      <c r="L33" s="459" t="n"/>
      <c r="M33" s="448">
        <f>SUM(K33:L33)</f>
        <v/>
      </c>
      <c r="N33" s="437" t="n"/>
    </row>
    <row r="34">
      <c r="A34" s="17" t="n"/>
      <c r="B34" s="18" t="n"/>
      <c r="C34" s="10" t="n"/>
      <c r="D34" s="452" t="n"/>
      <c r="E34" s="10" t="n"/>
      <c r="F34" s="61" t="n"/>
      <c r="G34" s="61" t="n"/>
      <c r="H34" s="10" t="n"/>
      <c r="I34" s="461" t="n"/>
      <c r="J34" s="458" t="n"/>
      <c r="K34" s="459" t="n"/>
      <c r="L34" s="459" t="n"/>
      <c r="M34" s="448">
        <f>SUM(K34:L34)</f>
        <v/>
      </c>
      <c r="N34" s="437" t="n"/>
    </row>
    <row r="35">
      <c r="A35" s="14" t="n"/>
      <c r="B35" s="15" t="n"/>
      <c r="C35" s="10" t="n"/>
      <c r="D35" s="476" t="n"/>
      <c r="E35" s="10" t="n"/>
      <c r="F35" s="61" t="n"/>
      <c r="G35" s="61" t="n"/>
      <c r="H35" s="10" t="n"/>
      <c r="I35" s="461" t="n"/>
      <c r="J35" s="458" t="n"/>
      <c r="K35" s="459" t="n"/>
      <c r="L35" s="459" t="n"/>
      <c r="M35" s="448">
        <f>SUM(K35:L35)</f>
        <v/>
      </c>
      <c r="N35" s="437" t="n"/>
    </row>
    <row r="36">
      <c r="A36" s="14" t="n"/>
      <c r="B36" s="15" t="n"/>
      <c r="C36" s="53" t="n"/>
      <c r="D36" s="476" t="n"/>
      <c r="E36" s="53" t="n"/>
      <c r="F36" s="62" t="n"/>
      <c r="G36" s="62" t="n"/>
      <c r="H36" s="53" t="n"/>
      <c r="I36" s="453" t="n"/>
      <c r="J36" s="455" t="n"/>
      <c r="K36" s="451" t="n"/>
      <c r="L36" s="451" t="n"/>
      <c r="M36" s="448">
        <f>SUM(K36:L36)</f>
        <v/>
      </c>
      <c r="N36" s="437" t="n"/>
    </row>
    <row r="37">
      <c r="A37" s="20" t="n"/>
      <c r="B37" s="21" t="n"/>
      <c r="C37" s="22" t="n"/>
      <c r="D37" s="21" t="n"/>
      <c r="E37" s="21" t="n"/>
      <c r="F37" s="21" t="n"/>
      <c r="G37" s="21" t="n"/>
      <c r="H37" s="21" t="n"/>
      <c r="I37" s="465" t="n"/>
      <c r="J37" s="469" t="n"/>
      <c r="K37" s="470" t="n"/>
      <c r="L37" s="470" t="n"/>
      <c r="M37" s="470" t="n"/>
      <c r="N37" s="437" t="n"/>
    </row>
    <row r="38">
      <c r="A38" s="20" t="n"/>
      <c r="B38" s="21" t="n"/>
      <c r="C38" s="22" t="n"/>
      <c r="D38" s="21" t="n"/>
      <c r="E38" s="21" t="n"/>
      <c r="F38" s="21" t="n"/>
      <c r="G38" s="21" t="n"/>
      <c r="H38" s="21" t="n"/>
      <c r="I38" s="465" t="n"/>
      <c r="J38" s="469" t="n"/>
      <c r="K38" s="470" t="n"/>
      <c r="L38" s="470" t="n"/>
      <c r="M38" s="470" t="n"/>
      <c r="N38" s="437" t="n"/>
    </row>
    <row r="39">
      <c r="A39" s="20" t="n"/>
      <c r="B39" s="21" t="n"/>
      <c r="C39" s="22" t="n"/>
      <c r="D39" s="21" t="n"/>
      <c r="E39" s="21" t="n"/>
      <c r="F39" s="21" t="n"/>
      <c r="G39" s="21" t="n"/>
      <c r="H39" s="21" t="n"/>
      <c r="J39" s="469" t="n"/>
      <c r="K39" s="470" t="n"/>
      <c r="L39" s="470" t="n"/>
      <c r="M39" s="472" t="n"/>
      <c r="N39" s="437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9" t="n"/>
      <c r="K40" s="470" t="n"/>
      <c r="L40" s="470" t="n"/>
      <c r="M40" s="473">
        <f>SUM(M2:M39)</f>
        <v/>
      </c>
      <c r="N40" s="473">
        <f>SUM(N2:N39)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9" t="n"/>
      <c r="K41" s="470" t="n"/>
      <c r="L41" s="470" t="n"/>
    </row>
    <row r="42">
      <c r="C42" s="3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137"/>
  <sheetViews>
    <sheetView zoomScale="62" zoomScaleNormal="62" workbookViewId="0">
      <selection activeCell="N13" sqref="N13"/>
    </sheetView>
  </sheetViews>
  <sheetFormatPr baseColWidth="8" defaultColWidth="8.75" defaultRowHeight="15"/>
  <cols>
    <col width="9" customWidth="1" style="29" min="1" max="1"/>
    <col width="58" customWidth="1" min="3" max="3"/>
    <col width="27.25" customWidth="1" min="4" max="4"/>
    <col width="9" bestFit="1" customWidth="1" min="5" max="7"/>
    <col width="11.5" bestFit="1" customWidth="1" min="8" max="8"/>
    <col width="9.5" customWidth="1" min="9" max="9"/>
    <col width="31.875" customWidth="1" style="423" min="10" max="10"/>
    <col width="9" bestFit="1" customWidth="1" style="424" min="11" max="12"/>
    <col width="15.125" customWidth="1" style="424" min="13" max="13"/>
  </cols>
  <sheetData>
    <row r="1">
      <c r="A1" s="67" t="inlineStr">
        <is>
          <t>Ord No.</t>
        </is>
      </c>
      <c r="B1" s="68" t="inlineStr">
        <is>
          <t>Time</t>
        </is>
      </c>
      <c r="C1" s="68" t="inlineStr">
        <is>
          <t>Trip</t>
        </is>
      </c>
      <c r="D1" s="536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Format="1" customHeight="1" s="132">
      <c r="A2" s="91" t="n"/>
      <c r="B2" s="92" t="n"/>
      <c r="C2" s="101" t="n"/>
      <c r="D2" s="440" t="n"/>
      <c r="E2" s="103" t="n"/>
      <c r="F2" s="40" t="n"/>
      <c r="G2" s="40" t="n"/>
      <c r="H2" s="39" t="n"/>
      <c r="I2" s="438" t="n"/>
      <c r="J2" s="438" t="n"/>
      <c r="K2" s="437" t="n"/>
      <c r="L2" s="436" t="n"/>
      <c r="M2" s="437">
        <f>SUM(K2:L2)</f>
        <v/>
      </c>
      <c r="N2" s="437" t="n"/>
      <c r="O2" s="144" t="n"/>
      <c r="P2" s="144" t="n"/>
    </row>
    <row r="3" ht="17.25" customFormat="1" customHeight="1" s="132">
      <c r="A3" s="91" t="n"/>
      <c r="B3" s="92" t="n"/>
      <c r="C3" s="101" t="n"/>
      <c r="D3" s="432" t="n"/>
      <c r="E3" s="103" t="n"/>
      <c r="F3" s="40" t="n"/>
      <c r="G3" s="40" t="n"/>
      <c r="H3" s="39" t="n"/>
      <c r="I3" s="438" t="n"/>
      <c r="J3" s="438" t="n"/>
      <c r="K3" s="437" t="n"/>
      <c r="L3" s="436" t="n"/>
      <c r="M3" s="437">
        <f>SUM(K3:L3)</f>
        <v/>
      </c>
      <c r="N3" s="437" t="n"/>
      <c r="O3" s="144" t="n"/>
      <c r="P3" s="144" t="n"/>
    </row>
    <row r="4" ht="17.25" customFormat="1" customHeight="1" s="132">
      <c r="A4" s="91" t="n"/>
      <c r="B4" s="92" t="n"/>
      <c r="C4" s="101" t="n"/>
      <c r="D4" s="432" t="n"/>
      <c r="E4" s="103" t="n"/>
      <c r="F4" s="40" t="n"/>
      <c r="G4" s="40" t="n"/>
      <c r="H4" s="39" t="n"/>
      <c r="I4" s="438" t="n"/>
      <c r="J4" s="438" t="n"/>
      <c r="K4" s="437" t="n"/>
      <c r="L4" s="436" t="n"/>
      <c r="M4" s="437">
        <f>SUM(K4:L4)</f>
        <v/>
      </c>
      <c r="N4" s="437" t="n"/>
      <c r="O4" s="144" t="n"/>
      <c r="P4" s="144" t="n"/>
    </row>
    <row r="5" ht="17.25" customFormat="1" customHeight="1" s="132">
      <c r="A5" s="91" t="n"/>
      <c r="B5" s="92" t="n"/>
      <c r="C5" s="101" t="n"/>
      <c r="D5" s="440" t="n"/>
      <c r="E5" s="103" t="n"/>
      <c r="F5" s="40" t="n"/>
      <c r="G5" s="40" t="n"/>
      <c r="H5" s="39" t="n"/>
      <c r="I5" s="438" t="n"/>
      <c r="J5" s="438" t="n"/>
      <c r="K5" s="437" t="n"/>
      <c r="L5" s="436" t="n"/>
      <c r="M5" s="437">
        <f>SUM(K5:L5)</f>
        <v/>
      </c>
      <c r="N5" s="437" t="n"/>
      <c r="O5" s="144" t="n"/>
      <c r="P5" s="144" t="n"/>
    </row>
    <row r="6" ht="17.25" customFormat="1" customHeight="1" s="132">
      <c r="A6" s="91" t="n"/>
      <c r="B6" s="92" t="n"/>
      <c r="C6" s="101" t="n"/>
      <c r="D6" s="440" t="n"/>
      <c r="E6" s="103" t="n"/>
      <c r="F6" s="40" t="n"/>
      <c r="G6" s="40" t="n"/>
      <c r="H6" s="39" t="n"/>
      <c r="I6" s="438" t="n"/>
      <c r="J6" s="438" t="n"/>
      <c r="K6" s="437" t="n"/>
      <c r="L6" s="436" t="n"/>
      <c r="M6" s="437">
        <f>SUM(K6:L6)</f>
        <v/>
      </c>
      <c r="N6" s="437" t="n"/>
      <c r="O6" s="144" t="n"/>
      <c r="P6" s="144" t="n"/>
    </row>
    <row r="7" ht="17.25" customFormat="1" customHeight="1" s="112">
      <c r="A7" s="91" t="n"/>
      <c r="B7" s="92" t="n"/>
      <c r="C7" s="101" t="n"/>
      <c r="D7" s="440" t="n"/>
      <c r="E7" s="103" t="n"/>
      <c r="F7" s="40" t="n"/>
      <c r="G7" s="40" t="n"/>
      <c r="H7" s="39" t="n"/>
      <c r="I7" s="438" t="n"/>
      <c r="J7" s="438" t="n"/>
      <c r="K7" s="437" t="n"/>
      <c r="L7" s="436" t="n"/>
      <c r="M7" s="437">
        <f>SUM(K7:L7)</f>
        <v/>
      </c>
      <c r="N7" s="437" t="n"/>
      <c r="O7" s="144" t="n"/>
      <c r="P7" s="144" t="n"/>
    </row>
    <row r="8" ht="17.25" customFormat="1" customHeight="1" s="112">
      <c r="A8" s="91" t="n"/>
      <c r="B8" s="92" t="n"/>
      <c r="C8" s="101" t="n"/>
      <c r="D8" s="440" t="n"/>
      <c r="E8" s="39" t="n"/>
      <c r="F8" s="40" t="n"/>
      <c r="G8" s="40" t="n"/>
      <c r="H8" s="39" t="n"/>
      <c r="I8" s="438" t="n"/>
      <c r="J8" s="438" t="n"/>
      <c r="K8" s="437" t="n"/>
      <c r="L8" s="436" t="n"/>
      <c r="M8" s="437">
        <f>SUM(K8:L8)</f>
        <v/>
      </c>
      <c r="N8" s="437" t="n"/>
    </row>
    <row r="9" ht="17.25" customFormat="1" customHeight="1" s="112">
      <c r="A9" s="91" t="n"/>
      <c r="B9" s="92" t="n"/>
      <c r="C9" s="101" t="n"/>
      <c r="D9" s="440" t="n"/>
      <c r="E9" s="39" t="n"/>
      <c r="F9" s="40" t="n"/>
      <c r="G9" s="40" t="n"/>
      <c r="H9" s="39" t="n"/>
      <c r="I9" s="438" t="n"/>
      <c r="J9" s="438" t="n"/>
      <c r="K9" s="437" t="n"/>
      <c r="L9" s="436" t="n"/>
      <c r="M9" s="437">
        <f>SUM(K9:L9)</f>
        <v/>
      </c>
      <c r="N9" s="437" t="n"/>
    </row>
    <row r="10" ht="17.25" customFormat="1" customHeight="1" s="6">
      <c r="A10" s="91" t="n"/>
      <c r="B10" s="92" t="n"/>
      <c r="C10" s="101" t="n"/>
      <c r="D10" s="440" t="n"/>
      <c r="E10" s="39" t="n"/>
      <c r="F10" s="40" t="n"/>
      <c r="G10" s="40" t="n"/>
      <c r="H10" s="39" t="n"/>
      <c r="I10" s="438" t="n"/>
      <c r="J10" s="441" t="n"/>
      <c r="K10" s="437" t="n"/>
      <c r="L10" s="436" t="n"/>
      <c r="M10" s="437">
        <f>SUM(K10:L10)</f>
        <v/>
      </c>
      <c r="N10" s="437" t="n"/>
    </row>
    <row r="11" ht="17.25" customFormat="1" customHeight="1" s="6">
      <c r="A11" s="91" t="n"/>
      <c r="B11" s="92" t="n"/>
      <c r="C11" s="101" t="n"/>
      <c r="D11" s="440" t="n"/>
      <c r="E11" s="126" t="n"/>
      <c r="F11" s="40" t="n"/>
      <c r="G11" s="40" t="n"/>
      <c r="H11" s="126" t="n"/>
      <c r="I11" s="513" t="n"/>
      <c r="J11" s="441" t="n"/>
      <c r="K11" s="437" t="n"/>
      <c r="L11" s="436" t="n"/>
      <c r="M11" s="437">
        <f>SUM(K11:L11)</f>
        <v/>
      </c>
      <c r="N11" s="437" t="n"/>
    </row>
    <row r="12" ht="17.25" customFormat="1" customHeight="1" s="6">
      <c r="A12" s="91" t="n"/>
      <c r="B12" s="92" t="n"/>
      <c r="C12" s="101" t="n"/>
      <c r="D12" s="440" t="n"/>
      <c r="E12" s="126" t="n"/>
      <c r="F12" s="127" t="n"/>
      <c r="G12" s="127" t="n"/>
      <c r="H12" s="126" t="n"/>
      <c r="I12" s="513" t="n"/>
      <c r="J12" s="438" t="n"/>
      <c r="K12" s="437" t="n"/>
      <c r="L12" s="436" t="n"/>
      <c r="M12" s="437">
        <f>SUM(K12:L12)</f>
        <v/>
      </c>
      <c r="N12" s="437" t="n"/>
    </row>
    <row r="13" ht="17.25" customFormat="1" customHeight="1" s="6">
      <c r="A13" s="91" t="n"/>
      <c r="B13" s="92" t="n"/>
      <c r="C13" s="101" t="n"/>
      <c r="D13" s="440" t="n"/>
      <c r="E13" s="126" t="n"/>
      <c r="F13" s="127" t="n"/>
      <c r="G13" s="127" t="n"/>
      <c r="H13" s="547" t="n"/>
      <c r="I13" s="513" t="n"/>
      <c r="J13" s="441" t="n"/>
      <c r="K13" s="437" t="n"/>
      <c r="L13" s="436" t="n"/>
      <c r="M13" s="437">
        <f>SUM(K13:L13)</f>
        <v/>
      </c>
      <c r="N13" s="437" t="n"/>
    </row>
    <row r="14" ht="17.25" customFormat="1" customHeight="1" s="6">
      <c r="A14" s="91" t="n"/>
      <c r="B14" s="48" t="n"/>
      <c r="C14" s="101" t="n"/>
      <c r="D14" s="440" t="n"/>
      <c r="E14" s="39" t="n"/>
      <c r="F14" s="40" t="n"/>
      <c r="G14" s="40" t="n"/>
      <c r="H14" s="449" t="n"/>
      <c r="I14" s="438" t="n"/>
      <c r="J14" s="441" t="n"/>
      <c r="K14" s="437" t="n"/>
      <c r="L14" s="436" t="n"/>
      <c r="M14" s="437">
        <f>SUM(K14:L14)</f>
        <v/>
      </c>
      <c r="N14" s="437" t="n"/>
    </row>
    <row r="15" ht="15.75" customFormat="1" customHeight="1" s="6">
      <c r="A15" s="1" t="n"/>
      <c r="B15" s="52" t="n"/>
      <c r="C15" s="53" t="n"/>
      <c r="D15" s="452" t="n"/>
      <c r="E15" s="53" t="n"/>
      <c r="F15" s="54" t="n"/>
      <c r="G15" s="54" t="n"/>
      <c r="H15" s="53" t="n"/>
      <c r="I15" s="453" t="n"/>
      <c r="J15" s="455" t="n"/>
      <c r="K15" s="451" t="n"/>
      <c r="L15" s="478" t="n"/>
      <c r="M15" s="448">
        <f>SUM(K15:L15)</f>
        <v/>
      </c>
      <c r="N15" s="437" t="n"/>
    </row>
    <row r="16" ht="15.75" customFormat="1" customHeight="1" s="6">
      <c r="A16" s="279" t="n"/>
      <c r="B16" s="52" t="n"/>
      <c r="C16" s="53" t="n"/>
      <c r="D16" s="452" t="n"/>
      <c r="E16" s="53" t="n"/>
      <c r="F16" s="54" t="n"/>
      <c r="G16" s="54" t="n"/>
      <c r="H16" s="53" t="n"/>
      <c r="I16" s="453" t="n"/>
      <c r="J16" s="455" t="n"/>
      <c r="K16" s="451" t="n"/>
      <c r="L16" s="478" t="n"/>
      <c r="M16" s="448">
        <f>SUM(K16:L16)</f>
        <v/>
      </c>
      <c r="N16" s="437" t="n"/>
    </row>
    <row r="17" ht="15.75" customHeight="1">
      <c r="A17" s="1" t="n"/>
      <c r="B17" s="52" t="n"/>
      <c r="C17" s="53" t="n"/>
      <c r="D17" s="452" t="n"/>
      <c r="E17" s="53" t="n"/>
      <c r="F17" s="54" t="n"/>
      <c r="G17" s="54" t="n"/>
      <c r="H17" s="53" t="n"/>
      <c r="I17" s="453" t="n"/>
      <c r="J17" s="455" t="n"/>
      <c r="K17" s="451" t="n"/>
      <c r="L17" s="478" t="n"/>
      <c r="M17" s="448">
        <f>SUM(K17:L17)</f>
        <v/>
      </c>
      <c r="N17" s="437" t="n"/>
    </row>
    <row r="18" ht="15.75" customHeight="1">
      <c r="A18" s="279" t="n"/>
      <c r="B18" s="52" t="n"/>
      <c r="C18" s="53" t="n"/>
      <c r="D18" s="452" t="n"/>
      <c r="E18" s="53" t="n"/>
      <c r="F18" s="54" t="n"/>
      <c r="G18" s="54" t="n"/>
      <c r="H18" s="457" t="n"/>
      <c r="I18" s="453" t="n"/>
      <c r="J18" s="455" t="n"/>
      <c r="K18" s="451" t="n"/>
      <c r="L18" s="478" t="n"/>
      <c r="M18" s="448">
        <f>SUM(K18:L18)</f>
        <v/>
      </c>
      <c r="N18" s="437" t="n"/>
    </row>
    <row r="19" ht="15.75" customHeight="1">
      <c r="A19" s="1" t="n"/>
      <c r="B19" s="52" t="n"/>
      <c r="C19" s="53" t="n"/>
      <c r="D19" s="452" t="n"/>
      <c r="E19" s="53" t="n"/>
      <c r="F19" s="54" t="n"/>
      <c r="G19" s="54" t="n"/>
      <c r="H19" s="53" t="n"/>
      <c r="I19" s="453" t="n"/>
      <c r="J19" s="455" t="n"/>
      <c r="K19" s="451" t="n"/>
      <c r="L19" s="478" t="n"/>
      <c r="M19" s="448">
        <f>SUM(K19:L19)</f>
        <v/>
      </c>
      <c r="N19" s="437" t="n"/>
    </row>
    <row r="20" ht="15.75" customHeight="1">
      <c r="A20" s="214" t="n"/>
      <c r="B20" s="48" t="n"/>
      <c r="C20" s="39" t="n"/>
      <c r="D20" s="440" t="n"/>
      <c r="E20" s="39" t="n"/>
      <c r="F20" s="40" t="n"/>
      <c r="G20" s="40" t="n"/>
      <c r="H20" s="39" t="n"/>
      <c r="I20" s="438" t="n"/>
      <c r="J20" s="441" t="n"/>
      <c r="K20" s="437" t="n"/>
      <c r="L20" s="436" t="n"/>
      <c r="M20" s="448">
        <f>SUM(K20:L20)</f>
        <v/>
      </c>
      <c r="N20" s="437" t="n"/>
    </row>
    <row r="21" ht="15.75" customHeight="1">
      <c r="A21" s="214" t="n"/>
      <c r="B21" s="46" t="n"/>
      <c r="C21" s="39" t="n"/>
      <c r="D21" s="454" t="n"/>
      <c r="E21" s="39" t="n"/>
      <c r="F21" s="40" t="n"/>
      <c r="G21" s="40" t="n"/>
      <c r="H21" s="39" t="n"/>
      <c r="I21" s="438" t="n"/>
      <c r="J21" s="441" t="n"/>
      <c r="K21" s="437" t="n"/>
      <c r="L21" s="436" t="n"/>
      <c r="M21" s="448">
        <f>SUM(K21:L21)</f>
        <v/>
      </c>
      <c r="N21" s="437" t="n"/>
    </row>
    <row r="22" ht="15.75" customHeight="1">
      <c r="A22" s="91" t="n"/>
      <c r="B22" s="48" t="n"/>
      <c r="C22" s="39" t="n"/>
      <c r="D22" s="454" t="n"/>
      <c r="E22" s="39" t="n"/>
      <c r="F22" s="40" t="n"/>
      <c r="G22" s="40" t="n"/>
      <c r="H22" s="39" t="n"/>
      <c r="I22" s="438" t="n"/>
      <c r="J22" s="441" t="n"/>
      <c r="K22" s="437" t="n"/>
      <c r="L22" s="436" t="n"/>
      <c r="M22" s="448">
        <f>SUM(K22:L22)</f>
        <v/>
      </c>
      <c r="N22" s="437" t="n"/>
    </row>
    <row r="23" ht="15.75" customHeight="1">
      <c r="A23" s="214" t="n"/>
      <c r="B23" s="46" t="n"/>
      <c r="C23" s="39" t="n"/>
      <c r="D23" s="440" t="n"/>
      <c r="E23" s="39" t="n"/>
      <c r="F23" s="40" t="n"/>
      <c r="G23" s="40" t="n"/>
      <c r="H23" s="39" t="n"/>
      <c r="I23" s="438" t="n"/>
      <c r="J23" s="441" t="n"/>
      <c r="K23" s="437" t="n"/>
      <c r="L23" s="437" t="n"/>
      <c r="M23" s="448">
        <f>SUM(K23:L23)</f>
        <v/>
      </c>
      <c r="N23" s="437" t="n"/>
    </row>
    <row r="24" ht="15.75" customHeight="1">
      <c r="A24" s="1" t="n"/>
      <c r="B24" s="8" t="n"/>
      <c r="C24" s="53" t="n"/>
      <c r="D24" s="425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48">
        <f>SUM(K24:L24)</f>
        <v/>
      </c>
      <c r="N24" s="437" t="n"/>
    </row>
    <row r="25">
      <c r="A25" s="279" t="n"/>
      <c r="B25" s="62" t="n"/>
      <c r="C25" s="53" t="n"/>
      <c r="D25" s="425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48">
        <f>SUM(K25:L25)</f>
        <v/>
      </c>
      <c r="N25" s="437" t="n"/>
    </row>
    <row r="26">
      <c r="A26" s="279" t="n"/>
      <c r="B26" s="62" t="n"/>
      <c r="C26" s="53" t="n"/>
      <c r="D26" s="425" t="n"/>
      <c r="E26" s="53" t="n"/>
      <c r="F26" s="61" t="n"/>
      <c r="G26" s="61" t="n"/>
      <c r="H26" s="53" t="n"/>
      <c r="I26" s="453" t="n"/>
      <c r="J26" s="455" t="n"/>
      <c r="K26" s="451" t="n"/>
      <c r="L26" s="451" t="n"/>
      <c r="M26" s="448">
        <f>SUM(K26:L26)</f>
        <v/>
      </c>
      <c r="N26" s="437" t="n"/>
    </row>
    <row r="27">
      <c r="A27" s="279" t="n"/>
      <c r="B27" s="62" t="n"/>
      <c r="C27" s="53" t="n"/>
      <c r="D27" s="425" t="n"/>
      <c r="E27" s="53" t="n"/>
      <c r="F27" s="61" t="n"/>
      <c r="G27" s="61" t="n"/>
      <c r="H27" s="53" t="n"/>
      <c r="I27" s="453" t="n"/>
      <c r="J27" s="455" t="n"/>
      <c r="K27" s="451" t="n"/>
      <c r="L27" s="451" t="n"/>
      <c r="M27" s="448">
        <f>SUM(K27:L27)</f>
        <v/>
      </c>
      <c r="N27" s="437" t="n"/>
    </row>
    <row r="28">
      <c r="A28" s="279" t="n"/>
      <c r="B28" s="62" t="n"/>
      <c r="C28" s="53" t="n"/>
      <c r="D28" s="425" t="n"/>
      <c r="E28" s="53" t="n"/>
      <c r="F28" s="61" t="n"/>
      <c r="G28" s="61" t="n"/>
      <c r="H28" s="53" t="n"/>
      <c r="I28" s="453" t="n"/>
      <c r="J28" s="455" t="n"/>
      <c r="K28" s="451" t="n"/>
      <c r="L28" s="451" t="n"/>
      <c r="M28" s="448">
        <f>SUM(K28:L28)</f>
        <v/>
      </c>
      <c r="N28" s="437" t="n"/>
    </row>
    <row r="29">
      <c r="A29" s="279" t="n"/>
      <c r="B29" s="62" t="n"/>
      <c r="C29" s="53" t="n"/>
      <c r="D29" s="456" t="n"/>
      <c r="E29" s="53" t="n"/>
      <c r="F29" s="61" t="n"/>
      <c r="G29" s="61" t="n"/>
      <c r="H29" s="53" t="n"/>
      <c r="I29" s="453" t="n"/>
      <c r="J29" s="455" t="n"/>
      <c r="K29" s="451" t="n"/>
      <c r="L29" s="451" t="n"/>
      <c r="M29" s="448">
        <f>SUM(K29:L29)</f>
        <v/>
      </c>
      <c r="N29" s="437" t="n"/>
    </row>
    <row r="30">
      <c r="A30" s="279" t="n"/>
      <c r="B30" s="62" t="n"/>
      <c r="C30" s="53" t="n"/>
      <c r="D30" s="53" t="n"/>
      <c r="E30" s="53" t="n"/>
      <c r="F30" s="61" t="n"/>
      <c r="G30" s="61" t="n"/>
      <c r="H30" s="53" t="n"/>
      <c r="I30" s="453" t="n"/>
      <c r="J30" s="455" t="n"/>
      <c r="K30" s="451" t="n"/>
      <c r="L30" s="451" t="n"/>
      <c r="M30" s="448">
        <f>SUM(K30:L30)</f>
        <v/>
      </c>
      <c r="N30" s="437" t="n"/>
    </row>
    <row r="31">
      <c r="A31" s="279" t="n"/>
      <c r="B31" s="62" t="n"/>
      <c r="C31" s="53" t="n"/>
      <c r="D31" s="425" t="n"/>
      <c r="E31" s="53" t="n"/>
      <c r="F31" s="61" t="n"/>
      <c r="G31" s="61" t="n"/>
      <c r="H31" s="53" t="n"/>
      <c r="I31" s="453" t="n"/>
      <c r="J31" s="455" t="n"/>
      <c r="K31" s="451" t="n"/>
      <c r="L31" s="451" t="n"/>
      <c r="M31" s="448">
        <f>SUM(K31:L31)</f>
        <v/>
      </c>
      <c r="N31" s="437" t="n"/>
    </row>
    <row r="32">
      <c r="A32" s="279" t="n"/>
      <c r="B32" s="62" t="n"/>
      <c r="C32" s="53" t="n"/>
      <c r="D32" s="476" t="n"/>
      <c r="E32" s="53" t="n"/>
      <c r="F32" s="61" t="n"/>
      <c r="G32" s="61" t="n"/>
      <c r="H32" s="53" t="n"/>
      <c r="I32" s="453" t="n"/>
      <c r="J32" s="455" t="n"/>
      <c r="K32" s="451" t="n"/>
      <c r="L32" s="451" t="n"/>
      <c r="M32" s="448">
        <f>SUM(K32:L32)</f>
        <v/>
      </c>
      <c r="N32" s="437" t="n"/>
    </row>
    <row r="33">
      <c r="A33" s="279" t="n"/>
      <c r="B33" s="62" t="n"/>
      <c r="C33" s="53" t="n"/>
      <c r="D33" s="425" t="n"/>
      <c r="E33" s="53" t="n"/>
      <c r="F33" s="61" t="n"/>
      <c r="G33" s="61" t="n"/>
      <c r="H33" s="53" t="n"/>
      <c r="I33" s="453" t="n"/>
      <c r="J33" s="455" t="n"/>
      <c r="K33" s="451" t="n"/>
      <c r="L33" s="451" t="n"/>
      <c r="M33" s="448">
        <f>SUM(K33:L33)</f>
        <v/>
      </c>
      <c r="N33" s="437" t="n"/>
    </row>
    <row r="34">
      <c r="A34" s="279" t="n"/>
      <c r="B34" s="62" t="n"/>
      <c r="C34" s="53" t="n"/>
      <c r="D34" s="9" t="n"/>
      <c r="E34" s="53" t="n"/>
      <c r="F34" s="61" t="n"/>
      <c r="G34" s="61" t="n"/>
      <c r="H34" s="53" t="n"/>
      <c r="I34" s="453" t="n"/>
      <c r="J34" s="455" t="n"/>
      <c r="K34" s="451" t="n"/>
      <c r="L34" s="451" t="n"/>
      <c r="M34" s="448">
        <f>SUM(K34:L34)</f>
        <v/>
      </c>
      <c r="N34" s="437" t="n"/>
    </row>
    <row r="35">
      <c r="A35" s="279" t="n"/>
      <c r="B35" s="62" t="n"/>
      <c r="C35" s="53" t="n"/>
      <c r="D35" s="425" t="n"/>
      <c r="E35" s="53" t="n"/>
      <c r="F35" s="61" t="n"/>
      <c r="G35" s="61" t="n"/>
      <c r="H35" s="53" t="n"/>
      <c r="I35" s="453" t="n"/>
      <c r="J35" s="455" t="n"/>
      <c r="K35" s="451" t="n"/>
      <c r="L35" s="451" t="n"/>
      <c r="M35" s="448">
        <f>SUM(K35:L35)</f>
        <v/>
      </c>
      <c r="N35" s="437" t="n"/>
    </row>
    <row r="36">
      <c r="A36" s="279" t="n"/>
      <c r="B36" s="62" t="n"/>
      <c r="C36" s="53" t="n"/>
      <c r="D36" s="425" t="n"/>
      <c r="E36" s="53" t="n"/>
      <c r="F36" s="61" t="n"/>
      <c r="G36" s="61" t="n"/>
      <c r="H36" s="53" t="n"/>
      <c r="I36" s="453" t="n"/>
      <c r="J36" s="455" t="n"/>
      <c r="K36" s="451" t="n"/>
      <c r="L36" s="451" t="n"/>
      <c r="M36" s="448">
        <f>SUM(K36:L36)</f>
        <v/>
      </c>
      <c r="N36" s="437" t="n"/>
    </row>
    <row r="37">
      <c r="A37" s="279" t="n"/>
      <c r="B37" s="62" t="n"/>
      <c r="C37" s="53" t="n"/>
      <c r="D37" s="456" t="n"/>
      <c r="E37" s="10" t="n"/>
      <c r="F37" s="61" t="n"/>
      <c r="G37" s="61" t="n"/>
      <c r="H37" s="10" t="n"/>
      <c r="I37" s="461" t="n"/>
      <c r="J37" s="458" t="n"/>
      <c r="K37" s="459" t="n"/>
      <c r="L37" s="459" t="n"/>
      <c r="M37" s="448">
        <f>SUM(K37:L37)</f>
        <v/>
      </c>
      <c r="N37" s="437" t="n"/>
    </row>
    <row r="38">
      <c r="A38" s="1" t="n"/>
      <c r="B38" s="18" t="n"/>
      <c r="C38" s="10" t="n"/>
      <c r="D38" s="452" t="n"/>
      <c r="E38" s="10" t="n"/>
      <c r="F38" s="61" t="n"/>
      <c r="G38" s="61" t="n"/>
      <c r="H38" s="10" t="n"/>
      <c r="I38" s="461" t="n"/>
      <c r="J38" s="458" t="n"/>
      <c r="K38" s="459" t="n"/>
      <c r="L38" s="459" t="n"/>
      <c r="M38" s="448">
        <f>SUM(K38:L38)</f>
        <v/>
      </c>
      <c r="N38" s="437" t="n"/>
    </row>
    <row r="39">
      <c r="A39" s="1" t="n"/>
      <c r="B39" s="18" t="n"/>
      <c r="C39" s="10" t="n"/>
      <c r="D39" s="452" t="n"/>
      <c r="E39" s="10" t="n"/>
      <c r="F39" s="61" t="n"/>
      <c r="G39" s="61" t="n"/>
      <c r="H39" s="10" t="n"/>
      <c r="I39" s="461" t="n"/>
      <c r="J39" s="458" t="n"/>
      <c r="K39" s="459" t="n"/>
      <c r="L39" s="459" t="n"/>
      <c r="M39" s="448">
        <f>SUM(K39:L39)</f>
        <v/>
      </c>
      <c r="N39" s="437" t="n"/>
    </row>
    <row r="40">
      <c r="A40" s="280" t="n"/>
      <c r="B40" s="21" t="n"/>
      <c r="C40" s="22" t="n"/>
      <c r="D40" s="21" t="n"/>
      <c r="E40" s="21" t="n"/>
      <c r="F40" s="21" t="n"/>
      <c r="G40" s="21" t="n"/>
      <c r="H40" s="21" t="n"/>
      <c r="I40" s="465" t="n"/>
      <c r="J40" s="469" t="n"/>
      <c r="K40" s="470" t="n"/>
      <c r="L40" s="470" t="n"/>
      <c r="M40" s="470">
        <f>SUM(M2:M39)</f>
        <v/>
      </c>
      <c r="N40" s="546">
        <f>SUM(N2:N39)</f>
        <v/>
      </c>
    </row>
    <row r="41">
      <c r="A41" s="280" t="n"/>
      <c r="B41" s="21" t="n"/>
      <c r="C41" s="22" t="n"/>
      <c r="D41" s="21" t="n"/>
      <c r="E41" s="21" t="n"/>
      <c r="F41" s="21" t="n"/>
      <c r="G41" s="21" t="n"/>
      <c r="H41" s="21" t="n"/>
      <c r="I41" s="465" t="n"/>
      <c r="J41" s="469" t="n"/>
      <c r="K41" s="470" t="n"/>
      <c r="L41" s="470" t="n"/>
      <c r="M41" s="470" t="n"/>
      <c r="N41" s="471" t="n"/>
    </row>
    <row r="42">
      <c r="A42" s="280" t="n"/>
      <c r="B42" s="21" t="n"/>
      <c r="C42" s="22" t="n"/>
      <c r="D42" s="21" t="n"/>
      <c r="E42" s="21" t="n"/>
      <c r="F42" s="21" t="n"/>
      <c r="G42" s="21" t="n"/>
      <c r="H42" s="21" t="n"/>
      <c r="I42" s="465" t="n"/>
      <c r="J42" s="469" t="n"/>
      <c r="K42" s="470" t="n"/>
      <c r="L42" s="470" t="n"/>
      <c r="M42" s="470" t="n"/>
      <c r="N42" s="471" t="n"/>
    </row>
    <row r="43">
      <c r="A43" s="280" t="n"/>
      <c r="B43" s="21" t="n"/>
      <c r="C43" s="22" t="n"/>
      <c r="D43" s="21" t="n"/>
      <c r="E43" s="21" t="n"/>
      <c r="F43" s="21" t="n"/>
      <c r="G43" s="21" t="n"/>
      <c r="H43" s="21" t="n"/>
      <c r="J43" s="469" t="n"/>
      <c r="K43" s="470" t="n"/>
      <c r="L43" s="470" t="n"/>
      <c r="M43" s="472" t="n"/>
      <c r="N43" s="472" t="n"/>
    </row>
    <row r="44">
      <c r="A44" s="280" t="n"/>
      <c r="B44" s="21" t="n"/>
      <c r="C44" s="22" t="n"/>
      <c r="D44" s="21" t="n"/>
      <c r="E44" s="21" t="n"/>
      <c r="F44" s="21" t="n"/>
      <c r="G44" s="21" t="n"/>
      <c r="H44" s="21" t="n"/>
      <c r="J44" s="469" t="n"/>
      <c r="K44" s="470" t="n"/>
      <c r="L44" s="470" t="n"/>
      <c r="M44" s="473" t="n"/>
    </row>
    <row r="45">
      <c r="A45" s="280" t="n"/>
      <c r="B45" s="21" t="n"/>
      <c r="C45" s="22" t="n"/>
      <c r="D45" s="21" t="n"/>
      <c r="E45" s="21" t="n"/>
      <c r="F45" s="21" t="n"/>
      <c r="G45" s="21" t="n"/>
      <c r="H45" s="21" t="n"/>
      <c r="J45" s="469" t="n"/>
      <c r="K45" s="470" t="n"/>
      <c r="L45" s="47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  <row r="135">
      <c r="C135" s="30" t="n"/>
    </row>
    <row r="136">
      <c r="C136" s="30" t="n"/>
    </row>
    <row r="137">
      <c r="C137" s="30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134"/>
  <sheetViews>
    <sheetView topLeftCell="A39" zoomScale="70" zoomScaleNormal="70" workbookViewId="0">
      <selection activeCell="N10" sqref="N2:N10"/>
    </sheetView>
  </sheetViews>
  <sheetFormatPr baseColWidth="8" defaultColWidth="8.75" defaultRowHeight="15"/>
  <cols>
    <col width="9" customWidth="1" style="29" min="1" max="1"/>
    <col width="56" customWidth="1" min="3" max="3"/>
    <col width="25.25" customWidth="1" min="4" max="4"/>
    <col width="9" bestFit="1" customWidth="1" min="5" max="7"/>
    <col width="11.5" bestFit="1" customWidth="1" min="8" max="8"/>
    <col width="9.5" customWidth="1" min="9" max="9"/>
    <col width="31.875" customWidth="1" style="423" min="10" max="10"/>
    <col width="9" bestFit="1" customWidth="1" style="424" min="11" max="12"/>
    <col width="15.125" customWidth="1" style="424" min="13" max="13"/>
  </cols>
  <sheetData>
    <row r="1">
      <c r="A1" s="67" t="inlineStr">
        <is>
          <t>Ord No.</t>
        </is>
      </c>
      <c r="B1" s="68" t="inlineStr">
        <is>
          <t>Time</t>
        </is>
      </c>
      <c r="C1" s="68" t="inlineStr">
        <is>
          <t>Trip</t>
        </is>
      </c>
      <c r="D1" s="536" t="inlineStr">
        <is>
          <t>Driver</t>
        </is>
      </c>
      <c r="E1" s="537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Format="1" customHeight="1" s="144">
      <c r="A2" s="229" t="n"/>
      <c r="B2" s="230" t="n"/>
      <c r="C2" s="140" t="n"/>
      <c r="D2" s="440" t="n"/>
      <c r="E2" s="127" t="n"/>
      <c r="F2" s="127" t="n"/>
      <c r="G2" s="271" t="n"/>
      <c r="H2" s="511" t="n"/>
      <c r="I2" s="519" t="n"/>
      <c r="J2" s="507" t="n"/>
      <c r="K2" s="488" t="n"/>
      <c r="L2" s="489" t="n"/>
      <c r="M2" s="437">
        <f>SUM(K2:L2)</f>
        <v/>
      </c>
      <c r="N2" s="437" t="n"/>
      <c r="O2" s="112" t="n"/>
    </row>
    <row r="3" ht="17.25" customFormat="1" customHeight="1" s="112">
      <c r="A3" s="229" t="n"/>
      <c r="B3" s="230" t="n"/>
      <c r="C3" s="140" t="n"/>
      <c r="D3" s="440" t="n"/>
      <c r="E3" s="126" t="n"/>
      <c r="F3" s="272" t="n"/>
      <c r="G3" s="142" t="n"/>
      <c r="H3" s="141" t="n"/>
      <c r="I3" s="520" t="n"/>
      <c r="J3" s="507" t="n"/>
      <c r="K3" s="521" t="n"/>
      <c r="L3" s="522" t="n"/>
      <c r="M3" s="448">
        <f>SUM(K3:L3)</f>
        <v/>
      </c>
      <c r="N3" s="437" t="n"/>
      <c r="P3" s="307" t="n"/>
    </row>
    <row r="4" ht="17.25" customFormat="1" customHeight="1" s="112">
      <c r="A4" s="229" t="n"/>
      <c r="B4" s="230" t="n"/>
      <c r="C4" s="140" t="n"/>
      <c r="D4" s="440" t="n"/>
      <c r="E4" s="126" t="n"/>
      <c r="F4" s="272" t="n"/>
      <c r="G4" s="142" t="n"/>
      <c r="H4" s="141" t="n"/>
      <c r="I4" s="520" t="n"/>
      <c r="J4" s="507" t="n"/>
      <c r="K4" s="521" t="n"/>
      <c r="L4" s="522" t="n"/>
      <c r="M4" s="448">
        <f>SUM(K4:L4)</f>
        <v/>
      </c>
      <c r="N4" s="437" t="n"/>
      <c r="P4" s="307" t="n"/>
    </row>
    <row r="5" ht="17.25" customFormat="1" customHeight="1" s="6">
      <c r="A5" s="200" t="n"/>
      <c r="B5" s="226" t="n"/>
      <c r="C5" s="39" t="n"/>
      <c r="D5" s="440" t="n"/>
      <c r="E5" s="181" t="n"/>
      <c r="F5" s="40" t="n"/>
      <c r="G5" s="40" t="n"/>
      <c r="H5" s="39" t="n"/>
      <c r="I5" s="438" t="n"/>
      <c r="J5" s="507" t="n"/>
      <c r="K5" s="437" t="n"/>
      <c r="L5" s="436" t="n"/>
      <c r="M5" s="437">
        <f>SUM(K5:L5)</f>
        <v/>
      </c>
      <c r="N5" s="437" t="n"/>
    </row>
    <row r="6" ht="17.25" customFormat="1" customHeight="1" s="6">
      <c r="A6" s="200" t="n"/>
      <c r="B6" s="226" t="n"/>
      <c r="C6" s="39" t="n"/>
      <c r="D6" s="440" t="n"/>
      <c r="E6" s="39" t="n"/>
      <c r="F6" s="40" t="n"/>
      <c r="G6" s="40" t="n"/>
      <c r="H6" s="449" t="n"/>
      <c r="I6" s="438" t="n"/>
      <c r="J6" s="441" t="n"/>
      <c r="K6" s="437" t="n"/>
      <c r="L6" s="436" t="n"/>
      <c r="M6" s="437">
        <f>SUM(K6:L6)</f>
        <v/>
      </c>
      <c r="N6" s="437" t="n"/>
    </row>
    <row r="7" ht="17.25" customFormat="1" customHeight="1" s="6">
      <c r="A7" s="47" t="n"/>
      <c r="B7" s="48" t="n"/>
      <c r="C7" s="39" t="n"/>
      <c r="D7" s="440" t="n"/>
      <c r="E7" s="39" t="n"/>
      <c r="F7" s="40" t="n"/>
      <c r="G7" s="40" t="n"/>
      <c r="H7" s="39" t="n"/>
      <c r="I7" s="438" t="n"/>
      <c r="J7" s="441" t="n"/>
      <c r="K7" s="437" t="n"/>
      <c r="L7" s="436" t="n"/>
      <c r="M7" s="437">
        <f>SUM(K7:L7)</f>
        <v/>
      </c>
      <c r="N7" s="437" t="n"/>
    </row>
    <row r="8" ht="17.25" customHeight="1">
      <c r="A8" s="47" t="n"/>
      <c r="B8" s="48" t="n"/>
      <c r="C8" s="39" t="n"/>
      <c r="D8" s="440" t="n"/>
      <c r="E8" s="39" t="n"/>
      <c r="F8" s="40" t="n"/>
      <c r="G8" s="40" t="n"/>
      <c r="H8" s="39" t="n"/>
      <c r="I8" s="438" t="n"/>
      <c r="J8" s="548" t="n"/>
      <c r="K8" s="437" t="n"/>
      <c r="L8" s="436" t="n"/>
      <c r="M8" s="437">
        <f>SUM(K8:L8)</f>
        <v/>
      </c>
      <c r="N8" s="437" t="n"/>
    </row>
    <row r="9" ht="17.25" customFormat="1" customHeight="1" s="6">
      <c r="A9" s="125" t="n"/>
      <c r="B9" s="48" t="n"/>
      <c r="C9" s="39" t="n"/>
      <c r="D9" s="440" t="n"/>
      <c r="E9" s="39" t="n"/>
      <c r="F9" s="40" t="n"/>
      <c r="G9" s="40" t="n"/>
      <c r="H9" s="39" t="n"/>
      <c r="I9" s="438" t="n"/>
      <c r="J9" s="441" t="n"/>
      <c r="K9" s="437" t="n"/>
      <c r="L9" s="436" t="n"/>
      <c r="M9" s="437">
        <f>SUM(K9:L9)</f>
        <v/>
      </c>
      <c r="N9" s="437" t="n"/>
    </row>
    <row r="10" ht="17.25" customHeight="1">
      <c r="A10" s="367" t="n"/>
      <c r="B10" s="48" t="n"/>
      <c r="C10" s="39" t="n"/>
      <c r="D10" s="452" t="n"/>
      <c r="E10" s="39" t="n"/>
      <c r="F10" s="40" t="n"/>
      <c r="G10" s="40" t="n"/>
      <c r="H10" s="39" t="n"/>
      <c r="I10" s="438" t="n"/>
      <c r="J10" s="441" t="n"/>
      <c r="K10" s="437" t="n"/>
      <c r="L10" s="436" t="n"/>
      <c r="M10" s="448">
        <f>SUM(K10:L10)</f>
        <v/>
      </c>
      <c r="N10" s="437" t="n"/>
    </row>
    <row r="11">
      <c r="A11" s="45" t="n"/>
      <c r="B11" s="46" t="n"/>
      <c r="C11" s="39" t="n"/>
      <c r="D11" s="454" t="n"/>
      <c r="E11" s="39" t="n"/>
      <c r="F11" s="40" t="n"/>
      <c r="G11" s="40" t="n"/>
      <c r="H11" s="39" t="n"/>
      <c r="I11" s="438" t="n"/>
      <c r="J11" s="441" t="n"/>
      <c r="K11" s="437" t="n"/>
      <c r="L11" s="436" t="n"/>
      <c r="M11" s="448">
        <f>SUM(K11:L11)</f>
        <v/>
      </c>
      <c r="N11" s="437" t="n"/>
    </row>
    <row r="12">
      <c r="A12" s="47" t="n"/>
      <c r="B12" s="48" t="n"/>
      <c r="C12" s="39" t="n"/>
      <c r="D12" s="454" t="n"/>
      <c r="E12" s="39" t="n"/>
      <c r="F12" s="40" t="n"/>
      <c r="G12" s="40" t="n"/>
      <c r="H12" s="39" t="n"/>
      <c r="I12" s="438" t="n"/>
      <c r="J12" s="441" t="n"/>
      <c r="K12" s="437" t="n"/>
      <c r="L12" s="436" t="n"/>
      <c r="M12" s="448">
        <f>SUM(K12:L12)</f>
        <v/>
      </c>
      <c r="N12" s="437" t="n"/>
    </row>
    <row r="13">
      <c r="A13" s="45" t="n"/>
      <c r="B13" s="46" t="n"/>
      <c r="C13" s="39" t="n"/>
      <c r="D13" s="440" t="n"/>
      <c r="E13" s="39" t="n"/>
      <c r="F13" s="40" t="n"/>
      <c r="G13" s="40" t="n"/>
      <c r="H13" s="39" t="n"/>
      <c r="I13" s="438" t="n"/>
      <c r="J13" s="441" t="n"/>
      <c r="K13" s="437" t="n"/>
      <c r="L13" s="437" t="n"/>
      <c r="M13" s="448">
        <f>SUM(K13:L13)</f>
        <v/>
      </c>
      <c r="N13" s="437" t="n"/>
    </row>
    <row r="14">
      <c r="A14" s="59" t="n"/>
      <c r="B14" s="52" t="n"/>
      <c r="C14" s="53" t="n"/>
      <c r="D14" s="452" t="n"/>
      <c r="E14" s="53" t="n"/>
      <c r="F14" s="61" t="n"/>
      <c r="G14" s="61" t="n"/>
      <c r="H14" s="53" t="n"/>
      <c r="I14" s="453" t="n"/>
      <c r="J14" s="455" t="n"/>
      <c r="K14" s="451" t="n"/>
      <c r="L14" s="451" t="n"/>
      <c r="M14" s="448">
        <f>SUM(K14:L14)</f>
        <v/>
      </c>
      <c r="N14" s="437" t="n"/>
    </row>
    <row r="15">
      <c r="A15" s="59" t="n"/>
      <c r="B15" s="52" t="n"/>
      <c r="C15" s="53" t="n"/>
      <c r="D15" s="440" t="n"/>
      <c r="E15" s="53" t="n"/>
      <c r="F15" s="54" t="n"/>
      <c r="G15" s="54" t="n"/>
      <c r="H15" s="507" t="n"/>
      <c r="I15" s="453" t="n"/>
      <c r="J15" s="455" t="n"/>
      <c r="K15" s="451" t="n"/>
      <c r="L15" s="478" t="n"/>
      <c r="M15" s="448">
        <f>SUM(K15:L15)</f>
        <v/>
      </c>
      <c r="N15" s="437" t="n"/>
    </row>
    <row r="16">
      <c r="A16" s="125" t="n"/>
      <c r="B16" s="48" t="n"/>
      <c r="C16" s="39" t="n"/>
      <c r="D16" s="452" t="n"/>
      <c r="E16" s="53" t="n"/>
      <c r="F16" s="54" t="n"/>
      <c r="G16" s="54" t="n"/>
      <c r="H16" s="457" t="n"/>
      <c r="I16" s="453" t="n"/>
      <c r="J16" s="455" t="n"/>
      <c r="K16" s="451" t="n"/>
      <c r="L16" s="478" t="n"/>
      <c r="M16" s="448">
        <f>SUM(K16:L16)</f>
        <v/>
      </c>
      <c r="N16" s="437" t="n"/>
    </row>
    <row r="17">
      <c r="A17" s="125" t="n"/>
      <c r="B17" s="48" t="n"/>
      <c r="C17" s="39" t="n"/>
      <c r="D17" s="440" t="n"/>
      <c r="E17" s="53" t="n"/>
      <c r="F17" s="61" t="n"/>
      <c r="G17" s="61" t="n"/>
      <c r="H17" s="53" t="n"/>
      <c r="I17" s="453" t="n"/>
      <c r="J17" s="455" t="n"/>
      <c r="K17" s="451" t="n"/>
      <c r="L17" s="451" t="n"/>
      <c r="M17" s="448">
        <f>SUM(K17:L17)</f>
        <v/>
      </c>
      <c r="N17" s="437" t="n"/>
    </row>
    <row r="18">
      <c r="A18" s="125" t="n"/>
      <c r="B18" s="48" t="n"/>
      <c r="C18" s="39" t="n"/>
      <c r="D18" s="452" t="n"/>
      <c r="E18" s="53" t="n"/>
      <c r="F18" s="54" t="n"/>
      <c r="G18" s="54" t="n"/>
      <c r="H18" s="457" t="n"/>
      <c r="I18" s="453" t="n"/>
      <c r="J18" s="455" t="n"/>
      <c r="K18" s="451" t="n"/>
      <c r="L18" s="478" t="n"/>
      <c r="M18" s="448">
        <f>SUM(K18:L18)</f>
        <v/>
      </c>
      <c r="N18" s="437" t="n"/>
    </row>
    <row r="19">
      <c r="A19" s="59" t="n"/>
      <c r="B19" s="52" t="n"/>
      <c r="C19" s="53" t="n"/>
      <c r="E19" s="53" t="n"/>
      <c r="F19" s="54" t="n"/>
      <c r="G19" s="54" t="n"/>
      <c r="H19" s="507" t="n"/>
      <c r="I19" s="453" t="n"/>
      <c r="J19" s="455" t="n"/>
      <c r="K19" s="451" t="n"/>
      <c r="L19" s="478" t="n"/>
      <c r="M19" s="448">
        <f>SUM(K19:L19)</f>
        <v/>
      </c>
      <c r="N19" s="437" t="n"/>
    </row>
    <row r="20">
      <c r="A20" s="51" t="n"/>
      <c r="B20" s="62" t="n"/>
      <c r="C20" s="53" t="n"/>
      <c r="D20" s="425" t="n"/>
      <c r="E20" s="53" t="n"/>
      <c r="F20" s="61" t="n"/>
      <c r="G20" s="61" t="n"/>
      <c r="H20" s="53" t="n"/>
      <c r="I20" s="453" t="n"/>
      <c r="J20" s="455" t="n"/>
      <c r="K20" s="451" t="n"/>
      <c r="L20" s="451" t="n"/>
      <c r="M20" s="448">
        <f>SUM(K20:L20)</f>
        <v/>
      </c>
      <c r="N20" s="437" t="n"/>
    </row>
    <row r="21">
      <c r="A21" s="51" t="n"/>
      <c r="B21" s="62" t="n"/>
      <c r="C21" s="53" t="n"/>
      <c r="D21" s="456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48">
        <f>SUM(K21:L21)</f>
        <v/>
      </c>
      <c r="N21" s="437" t="n"/>
    </row>
    <row r="22">
      <c r="A22" s="51" t="n"/>
      <c r="B22" s="62" t="n"/>
      <c r="C22" s="53" t="n"/>
      <c r="D22" s="53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48">
        <f>SUM(K22:L22)</f>
        <v/>
      </c>
      <c r="N22" s="437" t="n"/>
    </row>
    <row r="23">
      <c r="A23" s="51" t="n"/>
      <c r="B23" s="62" t="n"/>
      <c r="C23" s="53" t="n"/>
      <c r="D23" s="456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48">
        <f>SUM(K23:L23)</f>
        <v/>
      </c>
      <c r="N23" s="437" t="n"/>
    </row>
    <row r="24">
      <c r="A24" s="51" t="n"/>
      <c r="B24" s="62" t="n"/>
      <c r="C24" s="53" t="n"/>
      <c r="D24" s="53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48">
        <f>SUM(K24:L24)</f>
        <v/>
      </c>
      <c r="N24" s="437" t="n"/>
    </row>
    <row r="25">
      <c r="A25" s="51" t="n"/>
      <c r="B25" s="62" t="n"/>
      <c r="C25" s="53" t="n"/>
      <c r="D25" s="425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48">
        <f>SUM(K25:L25)</f>
        <v/>
      </c>
      <c r="N25" s="437" t="n"/>
    </row>
    <row r="26">
      <c r="A26" s="51" t="n"/>
      <c r="B26" s="62" t="n"/>
      <c r="C26" s="53" t="n"/>
      <c r="D26" s="476" t="n"/>
      <c r="E26" s="53" t="n"/>
      <c r="F26" s="61" t="n"/>
      <c r="G26" s="61" t="n"/>
      <c r="H26" s="53" t="n"/>
      <c r="I26" s="453" t="n"/>
      <c r="J26" s="455" t="n"/>
      <c r="K26" s="451" t="n"/>
      <c r="L26" s="451" t="n"/>
      <c r="M26" s="448">
        <f>SUM(K26:L26)</f>
        <v/>
      </c>
      <c r="N26" s="437" t="n"/>
    </row>
    <row r="27">
      <c r="A27" s="51" t="n"/>
      <c r="B27" s="62" t="n"/>
      <c r="C27" s="53" t="n"/>
      <c r="D27" s="425" t="n"/>
      <c r="E27" s="53" t="n"/>
      <c r="F27" s="61" t="n"/>
      <c r="G27" s="61" t="n"/>
      <c r="H27" s="53" t="n"/>
      <c r="I27" s="453" t="n"/>
      <c r="J27" s="455" t="n"/>
      <c r="K27" s="451" t="n"/>
      <c r="L27" s="451" t="n"/>
      <c r="M27" s="448">
        <f>SUM(K27:L27)</f>
        <v/>
      </c>
      <c r="N27" s="437" t="n"/>
    </row>
    <row r="28">
      <c r="A28" s="51" t="n"/>
      <c r="B28" s="62" t="n"/>
      <c r="C28" s="53" t="n"/>
      <c r="D28" s="9" t="n"/>
      <c r="E28" s="53" t="n"/>
      <c r="F28" s="61" t="n"/>
      <c r="G28" s="61" t="n"/>
      <c r="H28" s="53" t="n"/>
      <c r="I28" s="453" t="n"/>
      <c r="J28" s="455" t="n"/>
      <c r="K28" s="451" t="n"/>
      <c r="L28" s="451" t="n"/>
      <c r="M28" s="448">
        <f>SUM(K28:L28)</f>
        <v/>
      </c>
      <c r="N28" s="437" t="n"/>
    </row>
    <row r="29">
      <c r="A29" s="51" t="n"/>
      <c r="B29" s="62" t="n"/>
      <c r="C29" s="53" t="n"/>
      <c r="D29" s="425" t="n"/>
      <c r="E29" s="53" t="n"/>
      <c r="F29" s="61" t="n"/>
      <c r="G29" s="61" t="n"/>
      <c r="H29" s="53" t="n"/>
      <c r="I29" s="453" t="n"/>
      <c r="J29" s="455" t="n"/>
      <c r="K29" s="451" t="n"/>
      <c r="L29" s="451" t="n"/>
      <c r="M29" s="448">
        <f>SUM(K29:L29)</f>
        <v/>
      </c>
      <c r="N29" s="437" t="n"/>
    </row>
    <row r="30">
      <c r="A30" s="51" t="n"/>
      <c r="B30" s="62" t="n"/>
      <c r="C30" s="53" t="n"/>
      <c r="D30" s="425" t="n"/>
      <c r="E30" s="53" t="n"/>
      <c r="F30" s="61" t="n"/>
      <c r="G30" s="61" t="n"/>
      <c r="H30" s="53" t="n"/>
      <c r="I30" s="453" t="n"/>
      <c r="J30" s="455" t="n"/>
      <c r="K30" s="451" t="n"/>
      <c r="L30" s="451" t="n"/>
      <c r="M30" s="448">
        <f>SUM(K30:L30)</f>
        <v/>
      </c>
      <c r="N30" s="437" t="n"/>
    </row>
    <row r="31">
      <c r="A31" s="51" t="n"/>
      <c r="B31" s="62" t="n"/>
      <c r="C31" s="53" t="n"/>
      <c r="D31" s="456" t="n"/>
      <c r="E31" s="10" t="n"/>
      <c r="F31" s="61" t="n"/>
      <c r="G31" s="61" t="n"/>
      <c r="H31" s="10" t="n"/>
      <c r="I31" s="461" t="n"/>
      <c r="J31" s="458" t="n"/>
      <c r="K31" s="459" t="n"/>
      <c r="L31" s="459" t="n"/>
      <c r="M31" s="448">
        <f>SUM(K31:L31)</f>
        <v/>
      </c>
      <c r="N31" s="437" t="n"/>
    </row>
    <row r="32">
      <c r="A32" s="14" t="n"/>
      <c r="B32" s="15" t="n"/>
      <c r="C32" s="10" t="n"/>
      <c r="D32" s="425" t="n"/>
      <c r="E32" s="10" t="n"/>
      <c r="F32" s="61" t="n"/>
      <c r="G32" s="61" t="n"/>
      <c r="H32" s="10" t="n"/>
      <c r="I32" s="461" t="n"/>
      <c r="J32" s="458" t="n"/>
      <c r="K32" s="459" t="n"/>
      <c r="L32" s="459" t="n"/>
      <c r="M32" s="448">
        <f>SUM(K32:L32)</f>
        <v/>
      </c>
      <c r="N32" s="437" t="n"/>
    </row>
    <row r="33">
      <c r="A33" s="14" t="n"/>
      <c r="B33" s="15" t="n"/>
      <c r="C33" s="10" t="n"/>
      <c r="D33" s="460" t="n"/>
      <c r="E33" s="10" t="n"/>
      <c r="F33" s="61" t="n"/>
      <c r="G33" s="61" t="n"/>
      <c r="H33" s="10" t="n"/>
      <c r="I33" s="461" t="n"/>
      <c r="J33" s="458" t="n"/>
      <c r="K33" s="459" t="n"/>
      <c r="L33" s="459" t="n"/>
      <c r="M33" s="448">
        <f>SUM(K33:L33)</f>
        <v/>
      </c>
      <c r="N33" s="437" t="n"/>
    </row>
    <row r="34">
      <c r="A34" s="14" t="n"/>
      <c r="B34" s="15" t="n"/>
      <c r="C34" s="10" t="n"/>
      <c r="D34" s="460" t="n"/>
      <c r="E34" s="10" t="n"/>
      <c r="F34" s="61" t="n"/>
      <c r="G34" s="61" t="n"/>
      <c r="H34" s="10" t="n"/>
      <c r="I34" s="461" t="n"/>
      <c r="J34" s="458" t="n"/>
      <c r="K34" s="459" t="n"/>
      <c r="L34" s="459" t="n"/>
      <c r="M34" s="448">
        <f>SUM(K34:L34)</f>
        <v/>
      </c>
      <c r="N34" s="437" t="n"/>
    </row>
    <row r="35">
      <c r="A35" s="14" t="n"/>
      <c r="B35" s="15" t="n"/>
      <c r="C35" s="10" t="n"/>
      <c r="D35" s="425" t="n"/>
      <c r="E35" s="10" t="n"/>
      <c r="F35" s="61" t="n"/>
      <c r="G35" s="61" t="n"/>
      <c r="H35" s="10" t="n"/>
      <c r="I35" s="461" t="n"/>
      <c r="J35" s="458" t="n"/>
      <c r="K35" s="459" t="n"/>
      <c r="L35" s="459" t="n"/>
      <c r="M35" s="448">
        <f>SUM(K35:L35)</f>
        <v/>
      </c>
      <c r="N35" s="437" t="n"/>
    </row>
    <row r="36">
      <c r="A36" s="17" t="n"/>
      <c r="B36" s="18" t="n"/>
      <c r="C36" s="10" t="n"/>
      <c r="D36" s="452" t="n"/>
      <c r="E36" s="10" t="n"/>
      <c r="F36" s="61" t="n"/>
      <c r="G36" s="61" t="n"/>
      <c r="H36" s="10" t="n"/>
      <c r="I36" s="461" t="n"/>
      <c r="J36" s="458" t="n"/>
      <c r="K36" s="459" t="n"/>
      <c r="L36" s="459" t="n"/>
      <c r="M36" s="448">
        <f>SUM(K36:L36)</f>
        <v/>
      </c>
      <c r="N36" s="437" t="n"/>
    </row>
    <row r="37">
      <c r="A37" s="17" t="n"/>
      <c r="B37" s="18" t="n"/>
      <c r="C37" s="10" t="n"/>
      <c r="D37" s="452" t="n"/>
      <c r="E37" s="10" t="n"/>
      <c r="F37" s="61" t="n"/>
      <c r="G37" s="61" t="n"/>
      <c r="H37" s="10" t="n"/>
      <c r="I37" s="461" t="n"/>
      <c r="J37" s="458" t="n"/>
      <c r="K37" s="459" t="n"/>
      <c r="L37" s="459" t="n"/>
      <c r="M37" s="448">
        <f>SUM(K37:L37)</f>
        <v/>
      </c>
      <c r="N37" s="437" t="n"/>
    </row>
    <row r="38">
      <c r="A38" s="17" t="n"/>
      <c r="B38" s="18" t="n"/>
      <c r="C38" s="10" t="n"/>
      <c r="D38" s="452" t="n"/>
      <c r="E38" s="10" t="n"/>
      <c r="F38" s="61" t="n"/>
      <c r="G38" s="61" t="n"/>
      <c r="H38" s="10" t="n"/>
      <c r="I38" s="461" t="n"/>
      <c r="J38" s="458" t="n"/>
      <c r="K38" s="459" t="n"/>
      <c r="L38" s="459" t="n"/>
      <c r="M38" s="448">
        <f>SUM(K38:L38)</f>
        <v/>
      </c>
      <c r="N38" s="437" t="n"/>
    </row>
    <row r="39">
      <c r="A39" s="20" t="n"/>
      <c r="B39" s="21" t="n"/>
      <c r="C39" s="22" t="n"/>
      <c r="D39" s="21" t="n"/>
      <c r="E39" s="21" t="n"/>
      <c r="F39" s="21" t="n"/>
      <c r="G39" s="21" t="n"/>
      <c r="H39" s="21" t="n"/>
      <c r="I39" s="465" t="n"/>
      <c r="J39" s="469" t="n"/>
      <c r="K39" s="470" t="n"/>
      <c r="L39" s="470" t="n"/>
      <c r="M39" s="470" t="n"/>
      <c r="N39" s="437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9" t="n"/>
      <c r="K40" s="470" t="n"/>
      <c r="L40" s="470" t="n"/>
      <c r="M40" s="472">
        <f>SUM(M2:M39)</f>
        <v/>
      </c>
      <c r="N40" s="472">
        <f>SUM(N2:N39)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9" t="n"/>
      <c r="K41" s="470" t="n"/>
      <c r="L41" s="470" t="n"/>
      <c r="M41" s="473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9" t="n"/>
      <c r="K42" s="470" t="n"/>
      <c r="L42" s="47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pageMargins left="0.7" right="0.7" top="0.75" bottom="0.75" header="0.3" footer="0.3"/>
  <pageSetup orientation="portrait" paperSize="9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136"/>
  <sheetViews>
    <sheetView topLeftCell="A39" zoomScale="70" zoomScaleNormal="70" workbookViewId="0">
      <selection activeCell="N9" sqref="N2:N9"/>
    </sheetView>
  </sheetViews>
  <sheetFormatPr baseColWidth="8" defaultColWidth="8.75" defaultRowHeight="15"/>
  <cols>
    <col width="9.5" customWidth="1" style="29" min="1" max="1"/>
    <col width="56" customWidth="1" min="3" max="3"/>
    <col width="25.25" customWidth="1" min="4" max="4"/>
    <col width="9" bestFit="1" customWidth="1" min="5" max="7"/>
    <col width="11.5" bestFit="1" customWidth="1" min="8" max="8"/>
    <col width="9.5" customWidth="1" min="9" max="9"/>
    <col width="31.875" customWidth="1" style="423" min="10" max="10"/>
    <col width="9" bestFit="1" customWidth="1" style="424" min="11" max="12"/>
    <col width="15.125" customWidth="1" style="424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5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29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Format="1" customHeight="1" s="112">
      <c r="A2" s="229" t="n"/>
      <c r="B2" s="230" t="n"/>
      <c r="C2" s="140" t="n"/>
      <c r="D2" s="440" t="n"/>
      <c r="E2" s="440" t="n"/>
      <c r="F2" s="127" t="n"/>
      <c r="G2" s="127" t="n"/>
      <c r="H2" s="440" t="n"/>
      <c r="I2" s="513" t="n"/>
      <c r="J2" s="507" t="n"/>
      <c r="K2" s="443" t="n"/>
      <c r="L2" s="488" t="n"/>
      <c r="M2" s="437">
        <f>SUM(K2:L2)</f>
        <v/>
      </c>
      <c r="N2" s="437" t="n"/>
    </row>
    <row r="3" ht="17.25" customFormat="1" customHeight="1" s="112">
      <c r="A3" s="229" t="n"/>
      <c r="B3" s="230" t="n"/>
      <c r="C3" s="140" t="n"/>
      <c r="D3" s="528" t="n"/>
      <c r="E3" s="126" t="n"/>
      <c r="F3" s="127" t="n"/>
      <c r="G3" s="127" t="n"/>
      <c r="H3" s="126" t="n"/>
      <c r="I3" s="513" t="n"/>
      <c r="J3" s="507" t="n"/>
      <c r="K3" s="443" t="n"/>
      <c r="L3" s="488" t="n"/>
      <c r="M3" s="437">
        <f>SUM(K3:L3)</f>
        <v/>
      </c>
      <c r="N3" s="437" t="n"/>
    </row>
    <row r="4" ht="17.25" customFormat="1" customHeight="1" s="112">
      <c r="A4" s="229" t="n"/>
      <c r="B4" s="230" t="n"/>
      <c r="C4" s="140" t="n"/>
      <c r="D4" s="440" t="n"/>
      <c r="E4" s="126" t="n"/>
      <c r="F4" s="127" t="n"/>
      <c r="G4" s="127" t="n"/>
      <c r="H4" s="126" t="n"/>
      <c r="I4" s="513" t="n"/>
      <c r="J4" s="507" t="n"/>
      <c r="K4" s="443" t="n"/>
      <c r="L4" s="488" t="n"/>
      <c r="M4" s="437">
        <f>SUM(K4:L4)</f>
        <v/>
      </c>
      <c r="N4" s="437" t="n"/>
    </row>
    <row r="5" ht="17.25" customFormat="1" customHeight="1" s="112">
      <c r="A5" s="229" t="n"/>
      <c r="B5" s="230" t="n"/>
      <c r="C5" s="140" t="n"/>
      <c r="D5" s="440" t="n"/>
      <c r="E5" s="126" t="n"/>
      <c r="F5" s="127" t="n"/>
      <c r="G5" s="127" t="n"/>
      <c r="H5" s="126" t="n"/>
      <c r="I5" s="513" t="n"/>
      <c r="J5" s="507" t="n"/>
      <c r="K5" s="443" t="n"/>
      <c r="L5" s="488" t="n"/>
      <c r="M5" s="437">
        <f>SUM(K5:L5)</f>
        <v/>
      </c>
      <c r="N5" s="437" t="n"/>
    </row>
    <row r="6" ht="17.25" customFormat="1" customHeight="1" s="112">
      <c r="A6" s="308" t="n"/>
      <c r="B6" s="309" t="n"/>
      <c r="C6" s="310" t="n"/>
      <c r="D6" s="510" t="n"/>
      <c r="E6" s="101" t="n"/>
      <c r="F6" s="100" t="n"/>
      <c r="G6" s="100" t="n"/>
      <c r="H6" s="101" t="n"/>
      <c r="I6" s="442" t="n"/>
      <c r="J6" s="507" t="n"/>
      <c r="K6" s="443" t="n"/>
      <c r="L6" s="488" t="n"/>
      <c r="M6" s="448">
        <f>SUM(K6:L6)</f>
        <v/>
      </c>
      <c r="N6" s="437" t="n"/>
    </row>
    <row r="7" ht="17.25" customFormat="1" customHeight="1" s="112">
      <c r="A7" s="45" t="n"/>
      <c r="B7" s="46" t="n"/>
      <c r="C7" s="39" t="n"/>
      <c r="D7" s="491" t="n"/>
      <c r="E7" s="39" t="n"/>
      <c r="F7" s="40" t="n"/>
      <c r="G7" s="40" t="n"/>
      <c r="H7" s="39" t="n"/>
      <c r="I7" s="438" t="n"/>
      <c r="J7" s="438" t="n"/>
      <c r="K7" s="443" t="n"/>
      <c r="L7" s="488" t="n"/>
      <c r="M7" s="437">
        <f>SUM(K7:L7)</f>
        <v/>
      </c>
      <c r="N7" s="437" t="n"/>
    </row>
    <row r="8" ht="17.25" customFormat="1" customHeight="1" s="112">
      <c r="A8" s="45" t="n"/>
      <c r="B8" s="46" t="n"/>
      <c r="C8" s="39" t="n"/>
      <c r="D8" s="440" t="n"/>
      <c r="E8" s="39" t="n"/>
      <c r="F8" s="40" t="n"/>
      <c r="G8" s="40" t="n"/>
      <c r="H8" s="39" t="n"/>
      <c r="I8" s="438" t="n"/>
      <c r="J8" s="438" t="n"/>
      <c r="K8" s="443" t="n"/>
      <c r="L8" s="488" t="n"/>
      <c r="M8" s="437">
        <f>SUM(K8:L8)</f>
        <v/>
      </c>
      <c r="N8" s="437" t="n"/>
    </row>
    <row r="9" ht="17.25" customFormat="1" customHeight="1" s="112">
      <c r="A9" s="45" t="n"/>
      <c r="B9" s="46" t="n"/>
      <c r="C9" s="39" t="n"/>
      <c r="D9" s="440" t="n"/>
      <c r="E9" s="39" t="n"/>
      <c r="F9" s="40" t="n"/>
      <c r="G9" s="40" t="n"/>
      <c r="H9" s="449" t="n"/>
      <c r="I9" s="438" t="n"/>
      <c r="J9" s="441" t="n"/>
      <c r="K9" s="443" t="n"/>
      <c r="L9" s="488" t="n"/>
      <c r="M9" s="437">
        <f>SUM(K9:L9)</f>
        <v/>
      </c>
      <c r="N9" s="437" t="n"/>
    </row>
    <row r="10" ht="17.25" customHeight="1">
      <c r="A10" s="47" t="n"/>
      <c r="B10" s="48" t="n"/>
      <c r="C10" s="39" t="n"/>
      <c r="D10" s="440" t="n"/>
      <c r="E10" s="39" t="n"/>
      <c r="F10" s="40" t="n"/>
      <c r="G10" s="40" t="n"/>
      <c r="H10" s="39" t="n"/>
      <c r="I10" s="438" t="n"/>
      <c r="J10" s="441" t="n"/>
      <c r="K10" s="437" t="n"/>
      <c r="L10" s="437" t="n"/>
      <c r="M10" s="437">
        <f>SUM(K10:L10)</f>
        <v/>
      </c>
      <c r="N10" s="437" t="n"/>
    </row>
    <row r="11" ht="17.25" customHeight="1">
      <c r="A11" s="51" t="n"/>
      <c r="B11" s="52" t="n"/>
      <c r="C11" s="39" t="n"/>
      <c r="D11" s="440" t="n"/>
      <c r="E11" s="53" t="n"/>
      <c r="F11" s="54" t="n"/>
      <c r="G11" s="54" t="n"/>
      <c r="H11" s="53" t="n"/>
      <c r="I11" s="453" t="n"/>
      <c r="J11" s="455" t="n"/>
      <c r="K11" s="451" t="n"/>
      <c r="L11" s="451" t="n"/>
      <c r="M11" s="448">
        <f>SUM(K11:L11)</f>
        <v/>
      </c>
      <c r="N11" s="437" t="n"/>
    </row>
    <row r="12" ht="17.25" customHeight="1">
      <c r="A12" s="318" t="n"/>
      <c r="B12" s="52" t="n"/>
      <c r="C12" s="165" t="n"/>
      <c r="D12" s="452" t="n"/>
      <c r="E12" s="53" t="n"/>
      <c r="F12" s="54" t="n"/>
      <c r="G12" s="54" t="n"/>
      <c r="H12" s="53" t="n"/>
      <c r="I12" s="453" t="n"/>
      <c r="J12" s="455" t="n"/>
      <c r="K12" s="451" t="n"/>
      <c r="L12" s="451" t="n"/>
      <c r="M12" s="448">
        <f>SUM(K12:L12)</f>
        <v/>
      </c>
      <c r="N12" s="437" t="n"/>
    </row>
    <row r="13" ht="17.25" customFormat="1" customHeight="1" s="6">
      <c r="A13" s="51" t="n"/>
      <c r="B13" s="52" t="n"/>
      <c r="C13" s="53" t="n"/>
      <c r="D13" s="452" t="n"/>
      <c r="E13" s="53" t="n"/>
      <c r="F13" s="54" t="n"/>
      <c r="G13" s="54" t="n"/>
      <c r="H13" s="457" t="n"/>
      <c r="I13" s="453" t="n"/>
      <c r="J13" s="446" t="n"/>
      <c r="K13" s="451" t="n"/>
      <c r="L13" s="451" t="n"/>
      <c r="M13" s="448">
        <f>SUM(K13:L13)</f>
        <v/>
      </c>
      <c r="N13" s="437" t="n"/>
    </row>
    <row r="14">
      <c r="A14" s="59" t="n"/>
      <c r="B14" s="52" t="n"/>
      <c r="C14" s="53" t="n"/>
      <c r="D14" s="452" t="n"/>
      <c r="E14" s="53" t="n"/>
      <c r="F14" s="54" t="n"/>
      <c r="G14" s="54" t="n"/>
      <c r="H14" s="53" t="n"/>
      <c r="I14" s="453" t="n"/>
      <c r="J14" s="455" t="n"/>
      <c r="K14" s="451" t="n"/>
      <c r="L14" s="451" t="n"/>
      <c r="M14" s="448">
        <f>SUM(K14:L14)</f>
        <v/>
      </c>
      <c r="N14" s="437" t="n"/>
    </row>
    <row r="15">
      <c r="A15" s="45" t="n"/>
      <c r="B15" s="48" t="n"/>
      <c r="C15" s="39" t="n"/>
      <c r="D15" s="440" t="n"/>
      <c r="E15" s="39" t="n"/>
      <c r="F15" s="40" t="n"/>
      <c r="G15" s="40" t="n"/>
      <c r="H15" s="39" t="n"/>
      <c r="I15" s="438" t="n"/>
      <c r="J15" s="441" t="n"/>
      <c r="K15" s="437" t="n"/>
      <c r="L15" s="437" t="n"/>
      <c r="M15" s="448">
        <f>SUM(K15:L15)</f>
        <v/>
      </c>
      <c r="N15" s="437" t="n"/>
    </row>
    <row r="16">
      <c r="A16" s="45" t="n"/>
      <c r="B16" s="46" t="n"/>
      <c r="C16" s="39" t="n"/>
      <c r="D16" s="454" t="n"/>
      <c r="E16" s="39" t="n"/>
      <c r="F16" s="40" t="n"/>
      <c r="G16" s="40" t="n"/>
      <c r="H16" s="39" t="n"/>
      <c r="I16" s="438" t="n"/>
      <c r="J16" s="441" t="n"/>
      <c r="K16" s="437" t="n"/>
      <c r="L16" s="437" t="n"/>
      <c r="M16" s="448">
        <f>SUM(K16:L16)</f>
        <v/>
      </c>
      <c r="N16" s="437" t="n"/>
    </row>
    <row r="17">
      <c r="A17" s="47" t="n"/>
      <c r="B17" s="48" t="n"/>
      <c r="C17" s="39" t="n"/>
      <c r="D17" s="454" t="n"/>
      <c r="E17" s="39" t="n"/>
      <c r="F17" s="40" t="n"/>
      <c r="G17" s="40" t="n"/>
      <c r="H17" s="39" t="n"/>
      <c r="I17" s="438" t="n"/>
      <c r="J17" s="441" t="n"/>
      <c r="K17" s="437" t="n"/>
      <c r="L17" s="437" t="n"/>
      <c r="M17" s="448">
        <f>SUM(K17:L17)</f>
        <v/>
      </c>
      <c r="N17" s="437" t="n"/>
    </row>
    <row r="18">
      <c r="A18" s="45" t="n"/>
      <c r="B18" s="46" t="n"/>
      <c r="C18" s="39" t="n"/>
      <c r="D18" s="440" t="n"/>
      <c r="E18" s="39" t="n"/>
      <c r="F18" s="40" t="n"/>
      <c r="G18" s="40" t="n"/>
      <c r="H18" s="39" t="n"/>
      <c r="I18" s="438" t="n"/>
      <c r="J18" s="441" t="n"/>
      <c r="K18" s="437" t="n"/>
      <c r="L18" s="437" t="n"/>
      <c r="M18" s="448">
        <f>SUM(K18:L18)</f>
        <v/>
      </c>
      <c r="N18" s="437" t="n"/>
    </row>
    <row r="19">
      <c r="A19" s="1" t="n"/>
      <c r="B19" s="8" t="n"/>
      <c r="C19" s="53" t="n"/>
      <c r="D19" s="425" t="n"/>
      <c r="E19" s="53" t="n"/>
      <c r="F19" s="61" t="n"/>
      <c r="G19" s="61" t="n"/>
      <c r="H19" s="53" t="n"/>
      <c r="I19" s="453" t="n"/>
      <c r="J19" s="455" t="n"/>
      <c r="K19" s="451" t="n"/>
      <c r="L19" s="451" t="n"/>
      <c r="M19" s="448">
        <f>SUM(K19:L19)</f>
        <v/>
      </c>
      <c r="N19" s="437" t="n"/>
    </row>
    <row r="20">
      <c r="A20" s="51" t="n"/>
      <c r="B20" s="62" t="n"/>
      <c r="C20" s="53" t="n"/>
      <c r="D20" s="425" t="n"/>
      <c r="E20" s="53" t="n"/>
      <c r="F20" s="61" t="n"/>
      <c r="G20" s="61" t="n"/>
      <c r="H20" s="53" t="n"/>
      <c r="I20" s="453" t="n"/>
      <c r="J20" s="455" t="n"/>
      <c r="K20" s="451" t="n"/>
      <c r="L20" s="451" t="n"/>
      <c r="M20" s="448">
        <f>SUM(K20:L20)</f>
        <v/>
      </c>
      <c r="N20" s="437" t="n"/>
    </row>
    <row r="21">
      <c r="A21" s="51" t="n"/>
      <c r="B21" s="62" t="n"/>
      <c r="C21" s="53" t="n"/>
      <c r="D21" s="425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48">
        <f>SUM(K21:L21)</f>
        <v/>
      </c>
      <c r="N21" s="437" t="n"/>
    </row>
    <row r="22">
      <c r="A22" s="51" t="n"/>
      <c r="B22" s="62" t="n"/>
      <c r="C22" s="53" t="n"/>
      <c r="D22" s="425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48">
        <f>SUM(K22:L22)</f>
        <v/>
      </c>
      <c r="N22" s="437" t="n"/>
    </row>
    <row r="23">
      <c r="A23" s="51" t="n"/>
      <c r="B23" s="62" t="n"/>
      <c r="C23" s="53" t="n"/>
      <c r="D23" s="425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48">
        <f>SUM(K23:L23)</f>
        <v/>
      </c>
      <c r="N23" s="437" t="n"/>
    </row>
    <row r="24">
      <c r="A24" s="51" t="n"/>
      <c r="B24" s="62" t="n"/>
      <c r="C24" s="53" t="n"/>
      <c r="D24" s="456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48">
        <f>SUM(K24:L24)</f>
        <v/>
      </c>
      <c r="N24" s="437" t="n"/>
    </row>
    <row r="25">
      <c r="A25" s="51" t="n"/>
      <c r="B25" s="62" t="n"/>
      <c r="C25" s="53" t="n"/>
      <c r="D25" s="53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48">
        <f>SUM(K25:L25)</f>
        <v/>
      </c>
      <c r="N25" s="437" t="n"/>
    </row>
    <row r="26">
      <c r="A26" s="51" t="n"/>
      <c r="B26" s="62" t="n"/>
      <c r="C26" s="53" t="n"/>
      <c r="D26" s="425" t="n"/>
      <c r="E26" s="53" t="n"/>
      <c r="F26" s="61" t="n"/>
      <c r="G26" s="61" t="n"/>
      <c r="H26" s="53" t="n"/>
      <c r="I26" s="453" t="n"/>
      <c r="J26" s="455" t="n"/>
      <c r="K26" s="451" t="n"/>
      <c r="L26" s="451" t="n"/>
      <c r="M26" s="448">
        <f>SUM(K26:L26)</f>
        <v/>
      </c>
      <c r="N26" s="437" t="n"/>
    </row>
    <row r="27">
      <c r="A27" s="51" t="n"/>
      <c r="B27" s="62" t="n"/>
      <c r="C27" s="53" t="n"/>
      <c r="D27" s="456" t="n"/>
      <c r="E27" s="53" t="n"/>
      <c r="F27" s="61" t="n"/>
      <c r="G27" s="61" t="n"/>
      <c r="H27" s="53" t="n"/>
      <c r="I27" s="453" t="n"/>
      <c r="J27" s="455" t="n"/>
      <c r="K27" s="451" t="n"/>
      <c r="L27" s="451" t="n"/>
      <c r="M27" s="448">
        <f>SUM(K27:L27)</f>
        <v/>
      </c>
      <c r="N27" s="437" t="n"/>
    </row>
    <row r="28">
      <c r="A28" s="51" t="n"/>
      <c r="B28" s="62" t="n"/>
      <c r="C28" s="53" t="n"/>
      <c r="D28" s="53" t="n"/>
      <c r="E28" s="53" t="n"/>
      <c r="F28" s="61" t="n"/>
      <c r="G28" s="61" t="n"/>
      <c r="H28" s="53" t="n"/>
      <c r="I28" s="453" t="n"/>
      <c r="J28" s="455" t="n"/>
      <c r="K28" s="451" t="n"/>
      <c r="L28" s="451" t="n"/>
      <c r="M28" s="448">
        <f>SUM(K28:L28)</f>
        <v/>
      </c>
      <c r="N28" s="437" t="n"/>
    </row>
    <row r="29">
      <c r="A29" s="51" t="n"/>
      <c r="B29" s="62" t="n"/>
      <c r="C29" s="53" t="n"/>
      <c r="D29" s="425" t="n"/>
      <c r="E29" s="53" t="n"/>
      <c r="F29" s="61" t="n"/>
      <c r="G29" s="61" t="n"/>
      <c r="H29" s="53" t="n"/>
      <c r="I29" s="453" t="n"/>
      <c r="J29" s="455" t="n"/>
      <c r="K29" s="451" t="n"/>
      <c r="L29" s="451" t="n"/>
      <c r="M29" s="448">
        <f>SUM(K29:L29)</f>
        <v/>
      </c>
      <c r="N29" s="437" t="n"/>
    </row>
    <row r="30">
      <c r="A30" s="51" t="n"/>
      <c r="B30" s="62" t="n"/>
      <c r="C30" s="53" t="n"/>
      <c r="D30" s="476" t="n"/>
      <c r="E30" s="53" t="n"/>
      <c r="F30" s="61" t="n"/>
      <c r="G30" s="61" t="n"/>
      <c r="H30" s="53" t="n"/>
      <c r="I30" s="453" t="n"/>
      <c r="J30" s="455" t="n"/>
      <c r="K30" s="451" t="n"/>
      <c r="L30" s="451" t="n"/>
      <c r="M30" s="448">
        <f>SUM(K30:L30)</f>
        <v/>
      </c>
      <c r="N30" s="437" t="n"/>
    </row>
    <row r="31">
      <c r="A31" s="51" t="n"/>
      <c r="B31" s="62" t="n"/>
      <c r="C31" s="53" t="n"/>
      <c r="D31" s="425" t="n"/>
      <c r="E31" s="53" t="n"/>
      <c r="F31" s="61" t="n"/>
      <c r="G31" s="61" t="n"/>
      <c r="H31" s="53" t="n"/>
      <c r="I31" s="453" t="n"/>
      <c r="J31" s="455" t="n"/>
      <c r="K31" s="451" t="n"/>
      <c r="L31" s="451" t="n"/>
      <c r="M31" s="448">
        <f>SUM(K31:L31)</f>
        <v/>
      </c>
      <c r="N31" s="437" t="n"/>
    </row>
    <row r="32">
      <c r="A32" s="51" t="n"/>
      <c r="B32" s="62" t="n"/>
      <c r="C32" s="53" t="n"/>
      <c r="D32" s="9" t="n"/>
      <c r="E32" s="53" t="n"/>
      <c r="F32" s="61" t="n"/>
      <c r="G32" s="61" t="n"/>
      <c r="H32" s="53" t="n"/>
      <c r="I32" s="453" t="n"/>
      <c r="J32" s="455" t="n"/>
      <c r="K32" s="451" t="n"/>
      <c r="L32" s="451" t="n"/>
      <c r="M32" s="448">
        <f>SUM(K32:L32)</f>
        <v/>
      </c>
      <c r="N32" s="437" t="n"/>
    </row>
    <row r="33">
      <c r="A33" s="51" t="n"/>
      <c r="B33" s="62" t="n"/>
      <c r="C33" s="53" t="n"/>
      <c r="D33" s="425" t="n"/>
      <c r="E33" s="53" t="n"/>
      <c r="F33" s="61" t="n"/>
      <c r="G33" s="61" t="n"/>
      <c r="H33" s="53" t="n"/>
      <c r="I33" s="453" t="n"/>
      <c r="J33" s="455" t="n"/>
      <c r="K33" s="451" t="n"/>
      <c r="L33" s="451" t="n"/>
      <c r="M33" s="448">
        <f>SUM(K33:L33)</f>
        <v/>
      </c>
      <c r="N33" s="437" t="n"/>
    </row>
    <row r="34">
      <c r="A34" s="51" t="n"/>
      <c r="B34" s="62" t="n"/>
      <c r="C34" s="53" t="n"/>
      <c r="D34" s="425" t="n"/>
      <c r="E34" s="53" t="n"/>
      <c r="F34" s="61" t="n"/>
      <c r="G34" s="61" t="n"/>
      <c r="H34" s="53" t="n"/>
      <c r="I34" s="453" t="n"/>
      <c r="J34" s="455" t="n"/>
      <c r="K34" s="451" t="n"/>
      <c r="L34" s="451" t="n"/>
      <c r="M34" s="448">
        <f>SUM(K34:L34)</f>
        <v/>
      </c>
      <c r="N34" s="437" t="n"/>
    </row>
    <row r="35">
      <c r="A35" s="51" t="n"/>
      <c r="B35" s="62" t="n"/>
      <c r="C35" s="53" t="n"/>
      <c r="D35" s="456" t="n"/>
      <c r="E35" s="10" t="n"/>
      <c r="F35" s="61" t="n"/>
      <c r="G35" s="61" t="n"/>
      <c r="H35" s="10" t="n"/>
      <c r="I35" s="461" t="n"/>
      <c r="J35" s="458" t="n"/>
      <c r="K35" s="459" t="n"/>
      <c r="L35" s="459" t="n"/>
      <c r="M35" s="448">
        <f>SUM(K35:L35)</f>
        <v/>
      </c>
      <c r="N35" s="437" t="n"/>
    </row>
    <row r="36">
      <c r="A36" s="14" t="n"/>
      <c r="B36" s="15" t="n"/>
      <c r="C36" s="10" t="n"/>
      <c r="D36" s="425" t="n"/>
      <c r="E36" s="10" t="n"/>
      <c r="F36" s="61" t="n"/>
      <c r="G36" s="61" t="n"/>
      <c r="H36" s="10" t="n"/>
      <c r="I36" s="461" t="n"/>
      <c r="J36" s="458" t="n"/>
      <c r="K36" s="459" t="n"/>
      <c r="L36" s="459" t="n"/>
      <c r="M36" s="448">
        <f>SUM(K36:L36)</f>
        <v/>
      </c>
      <c r="N36" s="437" t="n"/>
    </row>
    <row r="37">
      <c r="A37" s="14" t="n"/>
      <c r="B37" s="15" t="n"/>
      <c r="C37" s="10" t="n"/>
      <c r="D37" s="460" t="n"/>
      <c r="E37" s="10" t="n"/>
      <c r="F37" s="61" t="n"/>
      <c r="G37" s="61" t="n"/>
      <c r="H37" s="10" t="n"/>
      <c r="I37" s="461" t="n"/>
      <c r="J37" s="458" t="n"/>
      <c r="K37" s="459" t="n"/>
      <c r="L37" s="459" t="n"/>
      <c r="M37" s="448">
        <f>SUM(K37:L37)</f>
        <v/>
      </c>
      <c r="N37" s="437" t="n"/>
    </row>
    <row r="38">
      <c r="A38" s="14" t="n"/>
      <c r="B38" s="15" t="n"/>
      <c r="C38" s="10" t="n"/>
      <c r="D38" s="460" t="n"/>
      <c r="E38" s="10" t="n"/>
      <c r="F38" s="61" t="n"/>
      <c r="G38" s="61" t="n"/>
      <c r="H38" s="10" t="n"/>
      <c r="I38" s="461" t="n"/>
      <c r="J38" s="458" t="n"/>
      <c r="K38" s="459" t="n"/>
      <c r="L38" s="459" t="n"/>
      <c r="M38" s="448">
        <f>SUM(K38:L38)</f>
        <v/>
      </c>
      <c r="N38" s="437" t="n"/>
    </row>
    <row r="39">
      <c r="A39" s="76" t="n"/>
      <c r="B39" s="77" t="n"/>
      <c r="C39" s="78" t="n"/>
      <c r="D39" s="531" t="n"/>
      <c r="E39" s="78" t="n"/>
      <c r="F39" s="79" t="n"/>
      <c r="G39" s="79" t="n"/>
      <c r="H39" s="78" t="n"/>
      <c r="I39" s="480" t="n"/>
      <c r="J39" s="481" t="n"/>
      <c r="K39" s="482" t="n"/>
      <c r="L39" s="482" t="n"/>
      <c r="M39" s="494" t="n"/>
      <c r="N39" s="471" t="n"/>
    </row>
    <row r="40" ht="15.75" customHeight="1" thickBot="1">
      <c r="A40" s="83" t="n"/>
      <c r="B40" s="84" t="n"/>
      <c r="C40" s="78" t="n"/>
      <c r="D40" s="479" t="n"/>
      <c r="E40" s="78" t="n"/>
      <c r="F40" s="79" t="n"/>
      <c r="G40" s="79" t="n"/>
      <c r="H40" s="78" t="n"/>
      <c r="I40" s="480" t="n"/>
      <c r="J40" s="481" t="n"/>
      <c r="K40" s="482" t="n"/>
      <c r="L40" s="482" t="n"/>
      <c r="M40" s="549">
        <f>SUM(M2:M39)</f>
        <v/>
      </c>
      <c r="N40" s="550">
        <f>SUM(N2:N39)</f>
        <v/>
      </c>
    </row>
    <row r="41" ht="15.75" customHeight="1" thickTop="1">
      <c r="A41" s="20" t="n"/>
      <c r="B41" s="21" t="n"/>
      <c r="C41" s="22" t="n"/>
      <c r="D41" s="21" t="n"/>
      <c r="E41" s="21" t="n"/>
      <c r="F41" s="21" t="n"/>
      <c r="G41" s="21" t="n"/>
      <c r="H41" s="21" t="n"/>
      <c r="I41" s="465" t="n"/>
      <c r="J41" s="469" t="n"/>
      <c r="K41" s="470" t="n"/>
      <c r="L41" s="470" t="n"/>
      <c r="M41" s="470" t="n"/>
      <c r="N41" s="471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9" t="n"/>
      <c r="K42" s="470" t="n"/>
      <c r="L42" s="470" t="n"/>
      <c r="M42" s="551" t="n"/>
      <c r="N42" s="551" t="n"/>
    </row>
    <row r="43">
      <c r="A43" s="20" t="n"/>
      <c r="B43" s="21" t="n"/>
      <c r="C43" s="22" t="n"/>
      <c r="D43" s="21" t="n"/>
      <c r="E43" s="21" t="n"/>
      <c r="F43" s="21" t="n"/>
      <c r="G43" s="21" t="n"/>
      <c r="H43" s="21" t="n"/>
      <c r="J43" s="469" t="n"/>
      <c r="K43" s="470" t="n"/>
      <c r="L43" s="470" t="n"/>
      <c r="M43" s="473" t="n"/>
    </row>
    <row r="44">
      <c r="A44" s="20" t="n"/>
      <c r="B44" s="21" t="n"/>
      <c r="C44" s="22" t="n"/>
      <c r="D44" s="21" t="n"/>
      <c r="E44" s="21" t="n"/>
      <c r="F44" s="21" t="n"/>
      <c r="G44" s="21" t="n"/>
      <c r="H44" s="21" t="n"/>
      <c r="J44" s="469" t="n"/>
      <c r="K44" s="470" t="n"/>
      <c r="L44" s="47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  <row r="135">
      <c r="C135" s="30" t="n"/>
    </row>
    <row r="136">
      <c r="C136" s="30" t="n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34"/>
  <sheetViews>
    <sheetView topLeftCell="A32" zoomScale="85" zoomScaleNormal="85" workbookViewId="0">
      <selection activeCell="T17" sqref="T17"/>
    </sheetView>
  </sheetViews>
  <sheetFormatPr baseColWidth="8" defaultColWidth="8.75" defaultRowHeight="15"/>
  <cols>
    <col width="9" customWidth="1" style="29" min="1" max="1"/>
    <col width="7.375" customWidth="1" min="2" max="2"/>
    <col width="56" customWidth="1" min="3" max="3"/>
    <col width="25.25" customWidth="1" min="4" max="4"/>
    <col width="9" bestFit="1" customWidth="1" min="5" max="7"/>
    <col width="11.5" bestFit="1" customWidth="1" min="8" max="8"/>
    <col width="9.5" customWidth="1" min="9" max="9"/>
    <col width="38" customWidth="1" style="423" min="10" max="10"/>
    <col width="9" bestFit="1" customWidth="1" style="424" min="11" max="12"/>
    <col width="15.125" customWidth="1" style="424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5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Format="1" customHeight="1" s="112">
      <c r="A2" s="145" t="n"/>
      <c r="B2" s="130" t="n"/>
      <c r="C2" s="93" t="n"/>
      <c r="D2" s="440" t="n"/>
      <c r="E2" s="93" t="n"/>
      <c r="F2" s="113" t="n"/>
      <c r="G2" s="40" t="n"/>
      <c r="H2" s="552" t="n"/>
      <c r="I2" s="433" t="n"/>
      <c r="J2" s="485" t="n"/>
      <c r="K2" s="448" t="n"/>
      <c r="L2" s="477" t="n"/>
      <c r="M2" s="437">
        <f>SUM(K2:L2)</f>
        <v/>
      </c>
      <c r="N2" s="437" t="n"/>
    </row>
    <row r="3" ht="17.25" customFormat="1" customHeight="1" s="112">
      <c r="A3" s="145" t="n"/>
      <c r="B3" s="130" t="n"/>
      <c r="C3" s="93" t="n"/>
      <c r="D3" s="440" t="n"/>
      <c r="E3" s="39" t="n"/>
      <c r="F3" s="40" t="n"/>
      <c r="G3" s="40" t="n"/>
      <c r="H3" s="39" t="n"/>
      <c r="I3" s="438" t="n"/>
      <c r="J3" s="485" t="n"/>
      <c r="K3" s="437" t="n"/>
      <c r="L3" s="436" t="n"/>
      <c r="M3" s="437">
        <f>SUM(K3:L3)</f>
        <v/>
      </c>
      <c r="N3" s="437" t="n"/>
    </row>
    <row r="4" ht="17.25" customFormat="1" customHeight="1" s="112">
      <c r="A4" s="145" t="n"/>
      <c r="B4" s="130" t="n"/>
      <c r="C4" s="93" t="n"/>
      <c r="D4" s="440" t="n"/>
      <c r="E4" s="39" t="n"/>
      <c r="F4" s="40" t="n"/>
      <c r="G4" s="40" t="n"/>
      <c r="H4" s="39" t="n"/>
      <c r="I4" s="438" t="n"/>
      <c r="J4" s="485" t="n"/>
      <c r="K4" s="437" t="n"/>
      <c r="L4" s="436" t="n"/>
      <c r="M4" s="437">
        <f>SUM(K4:L4)</f>
        <v/>
      </c>
      <c r="N4" s="437" t="n"/>
    </row>
    <row r="5" ht="17.25" customHeight="1">
      <c r="A5" s="45" t="n"/>
      <c r="B5" s="46" t="n"/>
      <c r="C5" s="39" t="n"/>
      <c r="D5" s="528" t="n"/>
      <c r="E5" s="39" t="n"/>
      <c r="F5" s="40" t="n"/>
      <c r="G5" s="40" t="n"/>
      <c r="H5" s="449" t="n"/>
      <c r="I5" s="438" t="n"/>
      <c r="J5" s="438" t="n"/>
      <c r="K5" s="437" t="n"/>
      <c r="L5" s="436" t="n"/>
      <c r="M5" s="437">
        <f>SUM(K5:L5)</f>
        <v/>
      </c>
      <c r="N5" s="437" t="n"/>
      <c r="O5" s="112" t="n"/>
    </row>
    <row r="6" ht="17.25" customHeight="1">
      <c r="A6" s="45" t="n"/>
      <c r="B6" s="46" t="n"/>
      <c r="C6" s="93" t="n"/>
      <c r="D6" s="491" t="n"/>
      <c r="E6" s="103" t="n"/>
      <c r="F6" s="113" t="n"/>
      <c r="G6" s="113" t="n"/>
      <c r="H6" s="39" t="n"/>
      <c r="I6" s="438" t="n"/>
      <c r="J6" s="441" t="n"/>
      <c r="K6" s="488" t="n"/>
      <c r="L6" s="489" t="n"/>
      <c r="M6" s="437">
        <f>SUM(K6:L6)</f>
        <v/>
      </c>
      <c r="N6" s="437" t="n"/>
      <c r="O6" s="112" t="n"/>
    </row>
    <row r="7" ht="17.25" customFormat="1" customHeight="1" s="6">
      <c r="A7" s="45" t="n"/>
      <c r="B7" s="46" t="n"/>
      <c r="C7" s="93" t="n"/>
      <c r="D7" s="440" t="n"/>
      <c r="E7" s="39" t="n"/>
      <c r="F7" s="40" t="n"/>
      <c r="G7" s="40" t="n"/>
      <c r="H7" s="39" t="n"/>
      <c r="I7" s="438" t="n"/>
      <c r="J7" s="485" t="n"/>
      <c r="K7" s="448" t="n"/>
      <c r="L7" s="477" t="n"/>
      <c r="M7" s="437">
        <f>SUM(K7:L7)</f>
        <v/>
      </c>
      <c r="N7" s="437" t="n"/>
    </row>
    <row r="8" ht="17.25" customHeight="1">
      <c r="A8" s="91" t="n"/>
      <c r="B8" s="48" t="n"/>
      <c r="C8" s="39" t="n"/>
      <c r="D8" s="440" t="n"/>
      <c r="E8" s="39" t="n"/>
      <c r="F8" s="40" t="n"/>
      <c r="G8" s="40" t="n"/>
      <c r="H8" s="39" t="n"/>
      <c r="I8" s="438" t="n"/>
      <c r="J8" s="441" t="n"/>
      <c r="K8" s="437" t="n"/>
      <c r="L8" s="436" t="n"/>
      <c r="M8" s="437">
        <f>SUM(K8:L8)</f>
        <v/>
      </c>
      <c r="N8" s="437" t="n"/>
      <c r="O8" s="6" t="n"/>
    </row>
    <row r="9" ht="17.25" customHeight="1">
      <c r="A9" s="91" t="n"/>
      <c r="B9" s="48" t="n"/>
      <c r="C9" s="165" t="n"/>
      <c r="D9" s="440" t="n"/>
      <c r="E9" s="39" t="n"/>
      <c r="F9" s="40" t="n"/>
      <c r="G9" s="40" t="n"/>
      <c r="H9" s="39" t="n"/>
      <c r="I9" s="438" t="n"/>
      <c r="J9" s="441" t="n"/>
      <c r="K9" s="437" t="n"/>
      <c r="L9" s="436" t="n"/>
      <c r="M9" s="437">
        <f>SUM(K9:L9)</f>
        <v/>
      </c>
      <c r="N9" s="437" t="n"/>
    </row>
    <row r="10" ht="17.25" customHeight="1">
      <c r="A10" s="91" t="n"/>
      <c r="B10" s="48" t="n"/>
      <c r="C10" s="101" t="n"/>
      <c r="D10" s="440" t="n"/>
      <c r="E10" s="39" t="n"/>
      <c r="F10" s="40" t="n"/>
      <c r="G10" s="40" t="n"/>
      <c r="H10" s="449" t="n"/>
      <c r="I10" s="438" t="n"/>
      <c r="J10" s="438" t="n"/>
      <c r="K10" s="437" t="n"/>
      <c r="L10" s="436" t="n"/>
      <c r="M10" s="437">
        <f>SUM(K10:L10)</f>
        <v/>
      </c>
      <c r="N10" s="437" t="n"/>
    </row>
    <row r="11" ht="17.25" customHeight="1">
      <c r="A11" s="91" t="n"/>
      <c r="B11" s="48" t="n"/>
      <c r="C11" s="101" t="n"/>
      <c r="D11" s="440" t="n"/>
      <c r="E11" s="39" t="n"/>
      <c r="F11" s="40" t="n"/>
      <c r="G11" s="40" t="n"/>
      <c r="H11" s="39" t="n"/>
      <c r="I11" s="438" t="n"/>
      <c r="J11" s="507" t="n"/>
      <c r="K11" s="488" t="n"/>
      <c r="L11" s="489" t="n"/>
      <c r="M11" s="437">
        <f>SUM(K11:L11)</f>
        <v/>
      </c>
      <c r="N11" s="437" t="n"/>
    </row>
    <row r="12" ht="17.25" customHeight="1">
      <c r="A12" s="91" t="n"/>
      <c r="B12" s="46" t="n"/>
      <c r="C12" s="101" t="n"/>
      <c r="D12" s="440" t="n"/>
      <c r="E12" s="39" t="n"/>
      <c r="F12" s="40" t="n"/>
      <c r="G12" s="40" t="n"/>
      <c r="H12" s="449" t="n"/>
      <c r="I12" s="438" t="n"/>
      <c r="J12" s="438" t="n"/>
      <c r="K12" s="437" t="n"/>
      <c r="L12" s="436" t="n"/>
      <c r="M12" s="437">
        <f>SUM(K12:L12)</f>
        <v/>
      </c>
      <c r="N12" s="437" t="n"/>
    </row>
    <row r="13" ht="17.25" customHeight="1">
      <c r="A13" s="91" t="n"/>
      <c r="B13" s="48" t="n"/>
      <c r="C13" s="93" t="n"/>
      <c r="D13" s="511" t="n"/>
      <c r="E13" s="39" t="n"/>
      <c r="F13" s="40" t="n"/>
      <c r="G13" s="40" t="n"/>
      <c r="H13" s="39" t="n"/>
      <c r="I13" s="438" t="n"/>
      <c r="J13" s="441" t="n"/>
      <c r="K13" s="437" t="n"/>
      <c r="L13" s="436" t="n"/>
      <c r="M13" s="437">
        <f>SUM(K13:L13)</f>
        <v/>
      </c>
      <c r="N13" s="437" t="n"/>
    </row>
    <row r="14">
      <c r="A14" s="91" t="n"/>
      <c r="B14" s="46" t="n"/>
      <c r="C14" s="53" t="n"/>
      <c r="D14" s="452" t="n"/>
      <c r="E14" s="39" t="n"/>
      <c r="F14" s="40" t="n"/>
      <c r="G14" s="40" t="n"/>
      <c r="H14" s="39" t="n"/>
      <c r="I14" s="438" t="n"/>
      <c r="J14" s="441" t="n"/>
      <c r="K14" s="437" t="n"/>
      <c r="L14" s="437" t="n"/>
      <c r="M14" s="448">
        <f>SUM(K14:L14)</f>
        <v/>
      </c>
      <c r="N14" s="437" t="n"/>
    </row>
    <row r="15">
      <c r="A15" s="91" t="n"/>
      <c r="B15" s="8" t="n"/>
      <c r="C15" s="53" t="n"/>
      <c r="D15" s="425" t="n"/>
      <c r="E15" s="53" t="n"/>
      <c r="F15" s="61" t="n"/>
      <c r="G15" s="61" t="n"/>
      <c r="H15" s="53" t="n"/>
      <c r="I15" s="453" t="n"/>
      <c r="J15" s="455" t="n"/>
      <c r="K15" s="451" t="n"/>
      <c r="L15" s="451" t="n"/>
      <c r="M15" s="448">
        <f>SUM(K15:L15)</f>
        <v/>
      </c>
      <c r="N15" s="437" t="n"/>
    </row>
    <row r="16">
      <c r="A16" s="91" t="n"/>
      <c r="B16" s="62" t="n"/>
      <c r="C16" s="53" t="n"/>
      <c r="D16" s="425" t="n"/>
      <c r="E16" s="53" t="n"/>
      <c r="F16" s="61" t="n"/>
      <c r="G16" s="61" t="n"/>
      <c r="H16" s="53" t="n"/>
      <c r="I16" s="453" t="n"/>
      <c r="J16" s="455" t="n"/>
      <c r="K16" s="451" t="n"/>
      <c r="L16" s="451" t="n"/>
      <c r="M16" s="448">
        <f>SUM(K16:L16)</f>
        <v/>
      </c>
      <c r="N16" s="437" t="n"/>
    </row>
    <row r="17">
      <c r="A17" s="91" t="n"/>
      <c r="B17" s="62" t="n"/>
      <c r="C17" s="53" t="n"/>
      <c r="D17" s="425" t="n"/>
      <c r="E17" s="53" t="n"/>
      <c r="F17" s="61" t="n"/>
      <c r="G17" s="61" t="n"/>
      <c r="H17" s="53" t="n"/>
      <c r="I17" s="453" t="n"/>
      <c r="J17" s="455" t="n"/>
      <c r="K17" s="451" t="n"/>
      <c r="L17" s="451" t="n"/>
      <c r="M17" s="448">
        <f>SUM(K17:L17)</f>
        <v/>
      </c>
      <c r="N17" s="437" t="n"/>
    </row>
    <row r="18">
      <c r="A18" s="91" t="n"/>
      <c r="B18" s="62" t="n"/>
      <c r="C18" s="53" t="n"/>
      <c r="D18" s="425" t="n"/>
      <c r="E18" s="53" t="n"/>
      <c r="F18" s="61" t="n"/>
      <c r="G18" s="61" t="n"/>
      <c r="H18" s="53" t="n"/>
      <c r="I18" s="453" t="n"/>
      <c r="J18" s="455" t="n"/>
      <c r="K18" s="451" t="n"/>
      <c r="L18" s="451" t="n"/>
      <c r="M18" s="448">
        <f>SUM(K18:L18)</f>
        <v/>
      </c>
      <c r="N18" s="437" t="n"/>
    </row>
    <row r="19">
      <c r="A19" s="91" t="n"/>
      <c r="B19" s="62" t="n"/>
      <c r="C19" s="53" t="n"/>
      <c r="D19" s="425" t="n"/>
      <c r="E19" s="53" t="n"/>
      <c r="F19" s="61" t="n"/>
      <c r="G19" s="61" t="n"/>
      <c r="H19" s="53" t="n"/>
      <c r="I19" s="453" t="n"/>
      <c r="J19" s="455" t="n"/>
      <c r="K19" s="451" t="n"/>
      <c r="L19" s="451" t="n"/>
      <c r="M19" s="448">
        <f>SUM(K19:L19)</f>
        <v/>
      </c>
      <c r="N19" s="437" t="n"/>
    </row>
    <row r="20">
      <c r="A20" s="91" t="n"/>
      <c r="B20" s="62" t="n"/>
      <c r="C20" s="53" t="n"/>
      <c r="D20" s="456" t="n"/>
      <c r="E20" s="53" t="n"/>
      <c r="F20" s="61" t="n"/>
      <c r="G20" s="61" t="n"/>
      <c r="H20" s="53" t="n"/>
      <c r="I20" s="453" t="n"/>
      <c r="J20" s="455" t="n"/>
      <c r="K20" s="451" t="n"/>
      <c r="L20" s="451" t="n"/>
      <c r="M20" s="448">
        <f>SUM(K20:L20)</f>
        <v/>
      </c>
      <c r="N20" s="437" t="n"/>
    </row>
    <row r="21">
      <c r="A21" s="91" t="n"/>
      <c r="B21" s="62" t="n"/>
      <c r="C21" s="53" t="n"/>
      <c r="D21" s="53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48">
        <f>SUM(K21:L21)</f>
        <v/>
      </c>
      <c r="N21" s="437" t="n"/>
    </row>
    <row r="22">
      <c r="A22" s="51" t="n"/>
      <c r="B22" s="62" t="n"/>
      <c r="C22" s="53" t="n"/>
      <c r="D22" s="53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48">
        <f>SUM(K22:L22)</f>
        <v/>
      </c>
      <c r="N22" s="437" t="n"/>
    </row>
    <row r="23">
      <c r="A23" s="51" t="n"/>
      <c r="B23" s="62" t="n"/>
      <c r="C23" s="53" t="n"/>
      <c r="D23" s="425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48">
        <f>SUM(K23:L23)</f>
        <v/>
      </c>
      <c r="N23" s="437" t="n"/>
    </row>
    <row r="24">
      <c r="A24" s="51" t="n"/>
      <c r="B24" s="62" t="n"/>
      <c r="C24" s="53" t="n"/>
      <c r="D24" s="476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48">
        <f>SUM(K24:L24)</f>
        <v/>
      </c>
      <c r="N24" s="437" t="n"/>
    </row>
    <row r="25">
      <c r="A25" s="51" t="n"/>
      <c r="B25" s="62" t="n"/>
      <c r="C25" s="53" t="n"/>
      <c r="D25" s="425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48">
        <f>SUM(K25:L25)</f>
        <v/>
      </c>
      <c r="N25" s="437" t="n"/>
    </row>
    <row r="26">
      <c r="A26" s="51" t="n"/>
      <c r="B26" s="62" t="n"/>
      <c r="C26" s="53" t="n"/>
      <c r="D26" s="9" t="n"/>
      <c r="E26" s="53" t="n"/>
      <c r="F26" s="61" t="n"/>
      <c r="G26" s="61" t="n"/>
      <c r="H26" s="53" t="n"/>
      <c r="I26" s="453" t="n"/>
      <c r="J26" s="455" t="n"/>
      <c r="K26" s="451" t="n"/>
      <c r="L26" s="451" t="n"/>
      <c r="M26" s="448">
        <f>SUM(K26:L26)</f>
        <v/>
      </c>
      <c r="N26" s="437" t="n"/>
    </row>
    <row r="27">
      <c r="A27" s="51" t="n"/>
      <c r="B27" s="62" t="n"/>
      <c r="C27" s="53" t="n"/>
      <c r="D27" s="425" t="n"/>
      <c r="E27" s="53" t="n"/>
      <c r="F27" s="61" t="n"/>
      <c r="G27" s="61" t="n"/>
      <c r="H27" s="53" t="n"/>
      <c r="I27" s="453" t="n"/>
      <c r="J27" s="455" t="n"/>
      <c r="K27" s="451" t="n"/>
      <c r="L27" s="451" t="n"/>
      <c r="M27" s="448">
        <f>SUM(K27:L27)</f>
        <v/>
      </c>
      <c r="N27" s="437" t="n"/>
    </row>
    <row r="28">
      <c r="A28" s="51" t="n"/>
      <c r="B28" s="62" t="n"/>
      <c r="C28" s="53" t="n"/>
      <c r="D28" s="425" t="n"/>
      <c r="E28" s="53" t="n"/>
      <c r="F28" s="61" t="n"/>
      <c r="G28" s="61" t="n"/>
      <c r="H28" s="53" t="n"/>
      <c r="I28" s="453" t="n"/>
      <c r="J28" s="455" t="n"/>
      <c r="K28" s="451" t="n"/>
      <c r="L28" s="451" t="n"/>
      <c r="M28" s="448">
        <f>SUM(K28:L28)</f>
        <v/>
      </c>
      <c r="N28" s="437" t="n"/>
    </row>
    <row r="29">
      <c r="A29" s="51" t="n"/>
      <c r="B29" s="62" t="n"/>
      <c r="C29" s="53" t="n"/>
      <c r="D29" s="456" t="n"/>
      <c r="E29" s="10" t="n"/>
      <c r="F29" s="61" t="n"/>
      <c r="G29" s="61" t="n"/>
      <c r="H29" s="10" t="n"/>
      <c r="I29" s="461" t="n"/>
      <c r="J29" s="458" t="n"/>
      <c r="K29" s="459" t="n"/>
      <c r="L29" s="459" t="n"/>
      <c r="M29" s="448">
        <f>SUM(K29:L29)</f>
        <v/>
      </c>
      <c r="N29" s="437" t="n"/>
    </row>
    <row r="30">
      <c r="A30" s="14" t="n"/>
      <c r="B30" s="15" t="n"/>
      <c r="C30" s="10" t="n"/>
      <c r="D30" s="425" t="n"/>
      <c r="E30" s="10" t="n"/>
      <c r="F30" s="61" t="n"/>
      <c r="G30" s="61" t="n"/>
      <c r="H30" s="10" t="n"/>
      <c r="I30" s="461" t="n"/>
      <c r="J30" s="458" t="n"/>
      <c r="K30" s="459" t="n"/>
      <c r="L30" s="459" t="n"/>
      <c r="M30" s="448">
        <f>SUM(K30:L30)</f>
        <v/>
      </c>
      <c r="N30" s="437" t="n"/>
    </row>
    <row r="31">
      <c r="A31" s="14" t="n"/>
      <c r="B31" s="15" t="n"/>
      <c r="C31" s="10" t="n"/>
      <c r="D31" s="460" t="n"/>
      <c r="E31" s="10" t="n"/>
      <c r="F31" s="61" t="n"/>
      <c r="G31" s="61" t="n"/>
      <c r="H31" s="10" t="n"/>
      <c r="I31" s="461" t="n"/>
      <c r="J31" s="458" t="n"/>
      <c r="K31" s="459" t="n"/>
      <c r="L31" s="459" t="n"/>
      <c r="M31" s="448">
        <f>SUM(K31:L31)</f>
        <v/>
      </c>
      <c r="N31" s="437" t="n"/>
    </row>
    <row r="32">
      <c r="A32" s="14" t="n"/>
      <c r="B32" s="15" t="n"/>
      <c r="C32" s="10" t="n"/>
      <c r="D32" s="460" t="n"/>
      <c r="E32" s="10" t="n"/>
      <c r="F32" s="61" t="n"/>
      <c r="G32" s="61" t="n"/>
      <c r="H32" s="10" t="n"/>
      <c r="I32" s="461" t="n"/>
      <c r="J32" s="458" t="n"/>
      <c r="K32" s="459" t="n"/>
      <c r="L32" s="459" t="n"/>
      <c r="M32" s="448">
        <f>SUM(K32:L32)</f>
        <v/>
      </c>
      <c r="N32" s="437" t="n"/>
    </row>
    <row r="33">
      <c r="A33" s="14" t="n"/>
      <c r="B33" s="15" t="n"/>
      <c r="C33" s="10" t="n"/>
      <c r="D33" s="425" t="n"/>
      <c r="E33" s="10" t="n"/>
      <c r="F33" s="61" t="n"/>
      <c r="G33" s="61" t="n"/>
      <c r="H33" s="10" t="n"/>
      <c r="I33" s="461" t="n"/>
      <c r="J33" s="458" t="n"/>
      <c r="K33" s="459" t="n"/>
      <c r="L33" s="459" t="n"/>
      <c r="M33" s="448">
        <f>SUM(K33:L33)</f>
        <v/>
      </c>
      <c r="N33" s="437" t="n"/>
    </row>
    <row r="34">
      <c r="A34" s="17" t="n"/>
      <c r="B34" s="18" t="n"/>
      <c r="C34" s="10" t="n"/>
      <c r="D34" s="452" t="n"/>
      <c r="E34" s="10" t="n"/>
      <c r="F34" s="61" t="n"/>
      <c r="G34" s="61" t="n"/>
      <c r="H34" s="10" t="n"/>
      <c r="I34" s="461" t="n"/>
      <c r="J34" s="458" t="n"/>
      <c r="K34" s="459" t="n"/>
      <c r="L34" s="459" t="n"/>
      <c r="M34" s="448">
        <f>SUM(K34:L34)</f>
        <v/>
      </c>
      <c r="N34" s="437" t="n"/>
    </row>
    <row r="35">
      <c r="A35" s="17" t="n"/>
      <c r="B35" s="18" t="n"/>
      <c r="C35" s="10" t="n"/>
      <c r="D35" s="452" t="n"/>
      <c r="E35" s="10" t="n"/>
      <c r="F35" s="61" t="n"/>
      <c r="G35" s="61" t="n"/>
      <c r="H35" s="10" t="n"/>
      <c r="I35" s="461" t="n"/>
      <c r="J35" s="458" t="n"/>
      <c r="K35" s="459" t="n"/>
      <c r="L35" s="459" t="n"/>
      <c r="M35" s="448">
        <f>SUM(K35:L35)</f>
        <v/>
      </c>
      <c r="N35" s="437" t="n"/>
    </row>
    <row r="36">
      <c r="A36" s="17" t="n"/>
      <c r="B36" s="18" t="n"/>
      <c r="C36" s="10" t="n"/>
      <c r="D36" s="452" t="n"/>
      <c r="E36" s="10" t="n"/>
      <c r="F36" s="61" t="n"/>
      <c r="G36" s="61" t="n"/>
      <c r="H36" s="10" t="n"/>
      <c r="I36" s="461" t="n"/>
      <c r="J36" s="458" t="n"/>
      <c r="K36" s="459" t="n"/>
      <c r="L36" s="459" t="n"/>
      <c r="M36" s="448">
        <f>SUM(K36:L36)</f>
        <v/>
      </c>
      <c r="N36" s="437" t="n"/>
    </row>
    <row r="37">
      <c r="A37" s="14" t="n"/>
      <c r="B37" s="15" t="n"/>
      <c r="C37" s="10" t="n"/>
      <c r="D37" s="476" t="n"/>
      <c r="E37" s="10" t="n"/>
      <c r="F37" s="61" t="n"/>
      <c r="G37" s="61" t="n"/>
      <c r="H37" s="10" t="n"/>
      <c r="I37" s="461" t="n"/>
      <c r="J37" s="458" t="n"/>
      <c r="K37" s="459" t="n"/>
      <c r="L37" s="459" t="n"/>
      <c r="M37" s="448">
        <f>SUM(K37:L37)</f>
        <v/>
      </c>
      <c r="N37" s="437" t="n"/>
    </row>
    <row r="38">
      <c r="A38" s="14" t="n"/>
      <c r="B38" s="15" t="n"/>
      <c r="C38" s="53" t="n"/>
      <c r="D38" s="476" t="n"/>
      <c r="E38" s="53" t="n"/>
      <c r="F38" s="62" t="n"/>
      <c r="G38" s="62" t="n"/>
      <c r="H38" s="53" t="n"/>
      <c r="I38" s="453" t="n"/>
      <c r="J38" s="455" t="n"/>
      <c r="K38" s="451" t="n"/>
      <c r="L38" s="451" t="n"/>
      <c r="M38" s="448">
        <f>SUM(K38:L38)</f>
        <v/>
      </c>
      <c r="N38" s="437" t="n"/>
    </row>
    <row r="39">
      <c r="A39" s="20" t="n"/>
      <c r="B39" s="21" t="n"/>
      <c r="C39" s="22" t="n"/>
      <c r="D39" s="21" t="n"/>
      <c r="E39" s="21" t="n"/>
      <c r="F39" s="21" t="n"/>
      <c r="G39" s="21" t="n"/>
      <c r="H39" s="21" t="n"/>
      <c r="I39" s="465" t="n"/>
      <c r="J39" s="469" t="n"/>
      <c r="K39" s="470" t="n"/>
      <c r="L39" s="470" t="n"/>
      <c r="M39" s="470" t="n"/>
      <c r="N39" s="437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9" t="n"/>
      <c r="K40" s="470" t="n"/>
      <c r="L40" s="470" t="n"/>
      <c r="M40" s="472">
        <f>SUM(M2:M39)</f>
        <v/>
      </c>
      <c r="N40" s="472">
        <f>SUM(N2:N39)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9" t="n"/>
      <c r="K41" s="470" t="n"/>
      <c r="L41" s="470" t="n"/>
      <c r="M41" s="473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9" t="n"/>
      <c r="K42" s="470" t="n"/>
      <c r="L42" s="47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134"/>
  <sheetViews>
    <sheetView zoomScale="60" zoomScaleNormal="60" workbookViewId="0">
      <selection activeCell="L17" sqref="L17"/>
    </sheetView>
  </sheetViews>
  <sheetFormatPr baseColWidth="8" defaultColWidth="8.75" defaultRowHeight="15"/>
  <cols>
    <col width="9" customWidth="1" style="29" min="1" max="1"/>
    <col width="56" customWidth="1" min="3" max="3"/>
    <col width="25.25" customWidth="1" min="4" max="4"/>
    <col width="9" bestFit="1" customWidth="1" min="5" max="7"/>
    <col width="11.5" bestFit="1" customWidth="1" min="8" max="8"/>
    <col width="9.5" customWidth="1" min="9" max="9"/>
    <col width="35.25" customWidth="1" style="423" min="10" max="10"/>
    <col width="9" bestFit="1" customWidth="1" style="424" min="11" max="12"/>
    <col width="15.125" customWidth="1" style="424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5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Format="1" customHeight="1" s="112">
      <c r="A2" s="145" t="n"/>
      <c r="B2" s="130" t="n"/>
      <c r="C2" s="93" t="n"/>
      <c r="D2" s="553" t="n"/>
      <c r="E2" s="93" t="n"/>
      <c r="F2" s="113" t="n"/>
      <c r="G2" s="113" t="n"/>
      <c r="H2" s="93" t="n"/>
      <c r="I2" s="433" t="n"/>
      <c r="J2" s="485" t="n"/>
      <c r="K2" s="475" t="n"/>
      <c r="L2" s="436" t="n"/>
      <c r="M2" s="437">
        <f>SUM(K2:L2)</f>
        <v/>
      </c>
      <c r="N2" s="437" t="n"/>
    </row>
    <row r="3" ht="17.25" customFormat="1" customHeight="1" s="112">
      <c r="A3" s="291" t="n"/>
      <c r="B3" s="198" t="n"/>
      <c r="C3" s="93" t="n"/>
      <c r="D3" s="523" t="n"/>
      <c r="E3" s="103" t="n"/>
      <c r="F3" s="113" t="n"/>
      <c r="G3" s="113" t="n"/>
      <c r="H3" s="39" t="n"/>
      <c r="I3" s="438" t="n"/>
      <c r="J3" s="485" t="n"/>
      <c r="K3" s="437" t="n"/>
      <c r="L3" s="436" t="n"/>
      <c r="M3" s="437">
        <f>SUM(K3:L3)</f>
        <v/>
      </c>
      <c r="N3" s="437" t="n"/>
    </row>
    <row r="4" ht="17.25" customFormat="1" customHeight="1" s="112">
      <c r="A4" s="291" t="n"/>
      <c r="B4" s="198" t="n"/>
      <c r="C4" s="93" t="n"/>
      <c r="D4" s="528" t="n"/>
      <c r="E4" s="103" t="n"/>
      <c r="F4" s="113" t="n"/>
      <c r="G4" s="113" t="n"/>
      <c r="H4" s="39" t="n"/>
      <c r="I4" s="438" t="n"/>
      <c r="J4" s="485" t="n"/>
      <c r="K4" s="437" t="n"/>
      <c r="L4" s="436" t="n"/>
      <c r="M4" s="437">
        <f>SUM(K4:L4)</f>
        <v/>
      </c>
      <c r="N4" s="437" t="n"/>
    </row>
    <row r="5" ht="17.25" customFormat="1" customHeight="1" s="112">
      <c r="A5" s="101" t="n"/>
      <c r="B5" s="48" t="n"/>
      <c r="C5" s="101" t="n"/>
      <c r="D5" s="167" t="n"/>
      <c r="E5" s="39" t="n"/>
      <c r="F5" s="40" t="n"/>
      <c r="G5" s="40" t="n"/>
      <c r="H5" s="93" t="n"/>
      <c r="I5" s="433" t="n"/>
      <c r="J5" s="554" t="n"/>
      <c r="K5" s="437" t="n"/>
      <c r="L5" s="436" t="n"/>
      <c r="M5" s="437">
        <f>SUM(K5:L5)</f>
        <v/>
      </c>
      <c r="N5" s="437" t="n"/>
    </row>
    <row r="6" ht="17.25" customFormat="1" customHeight="1" s="112">
      <c r="A6" s="101" t="n"/>
      <c r="B6" s="48" t="n"/>
      <c r="C6" s="101" t="n"/>
      <c r="D6" s="440" t="n"/>
      <c r="E6" s="39" t="n"/>
      <c r="F6" s="40" t="n"/>
      <c r="G6" s="40" t="n"/>
      <c r="H6" s="93" t="n"/>
      <c r="I6" s="433" t="n"/>
      <c r="J6" s="554" t="n"/>
      <c r="K6" s="437" t="n"/>
      <c r="L6" s="436" t="n"/>
      <c r="M6" s="437">
        <f>SUM(K6:L6)</f>
        <v/>
      </c>
      <c r="N6" s="437" t="n"/>
    </row>
    <row r="7" ht="17.25" customFormat="1" customHeight="1" s="112">
      <c r="A7" s="101" t="n"/>
      <c r="B7" s="48" t="n"/>
      <c r="C7" s="101" t="n"/>
      <c r="D7" s="440" t="n"/>
      <c r="E7" s="39" t="n"/>
      <c r="F7" s="40" t="n"/>
      <c r="G7" s="40" t="n"/>
      <c r="H7" s="93" t="n"/>
      <c r="I7" s="433" t="n"/>
      <c r="J7" s="554" t="n"/>
      <c r="K7" s="437" t="n"/>
      <c r="L7" s="436" t="n"/>
      <c r="M7" s="437">
        <f>SUM(K7:L7)</f>
        <v/>
      </c>
      <c r="N7" s="437" t="n"/>
    </row>
    <row r="8" ht="17.25" customFormat="1" customHeight="1" s="112">
      <c r="A8" s="91" t="n"/>
      <c r="B8" s="48" t="n"/>
      <c r="C8" s="186" t="n"/>
      <c r="D8" s="514" t="n"/>
      <c r="E8" s="103" t="n"/>
      <c r="F8" s="40" t="n"/>
      <c r="G8" s="40" t="n"/>
      <c r="H8" s="39" t="n"/>
      <c r="I8" s="438" t="n"/>
      <c r="J8" s="554" t="n"/>
      <c r="K8" s="437" t="n"/>
      <c r="L8" s="436" t="n"/>
      <c r="M8" s="437">
        <f>SUM(K8:L8)</f>
        <v/>
      </c>
      <c r="N8" s="437" t="n"/>
    </row>
    <row r="9" ht="17.25" customHeight="1">
      <c r="A9" s="159" t="n"/>
      <c r="B9" s="168" t="n"/>
      <c r="C9" s="369" t="n"/>
      <c r="D9" s="93" t="n"/>
      <c r="E9" s="93" t="n"/>
      <c r="F9" s="166" t="n"/>
      <c r="G9" s="166" t="n"/>
      <c r="H9" s="93" t="n"/>
      <c r="I9" s="433" t="n"/>
      <c r="J9" s="507" t="n"/>
      <c r="K9" s="488" t="n"/>
      <c r="L9" s="489" t="n"/>
      <c r="M9" s="437">
        <f>SUM(K9:L9)</f>
        <v/>
      </c>
      <c r="N9" s="437" t="n"/>
    </row>
    <row r="10" ht="17.25" customHeight="1">
      <c r="A10" s="159" t="n"/>
      <c r="B10" s="168" t="n"/>
      <c r="C10" s="369" t="n"/>
      <c r="D10" s="101" t="n"/>
      <c r="E10" s="103" t="n"/>
      <c r="F10" s="166" t="n"/>
      <c r="G10" s="166" t="n"/>
      <c r="H10" s="93" t="n"/>
      <c r="I10" s="433" t="n"/>
      <c r="J10" s="507" t="n"/>
      <c r="K10" s="488" t="n"/>
      <c r="L10" s="489" t="n"/>
      <c r="M10" s="437">
        <f>SUM(K10:L10)</f>
        <v/>
      </c>
      <c r="N10" s="437" t="n"/>
      <c r="P10" t="inlineStr">
        <is>
          <t>Fs-東涌-鯉魚門-旺角-深水埗-fs-荷李活道</t>
        </is>
      </c>
    </row>
    <row r="11" ht="17.25" customHeight="1">
      <c r="A11" s="91" t="n"/>
      <c r="B11" s="312" t="n"/>
      <c r="C11" s="158" t="n"/>
      <c r="D11" s="167" t="n"/>
      <c r="E11" s="39" t="n"/>
      <c r="F11" s="40" t="n"/>
      <c r="G11" s="40" t="n"/>
      <c r="H11" s="39" t="n"/>
      <c r="I11" s="438" t="n"/>
      <c r="J11" s="507" t="n"/>
      <c r="K11" s="488" t="n"/>
      <c r="L11" s="489" t="n"/>
      <c r="M11" s="437">
        <f>SUM(K11:L11)</f>
        <v/>
      </c>
      <c r="N11" s="437" t="n"/>
    </row>
    <row r="12" ht="17.25" customHeight="1">
      <c r="A12" s="91" t="n"/>
      <c r="B12" s="48" t="n"/>
      <c r="C12" s="39" t="n"/>
      <c r="D12" s="440" t="n"/>
      <c r="E12" s="39" t="n"/>
      <c r="F12" s="40" t="n"/>
      <c r="G12" s="40" t="n"/>
      <c r="H12" s="39" t="n"/>
      <c r="I12" s="438" t="n"/>
      <c r="J12" s="507" t="n"/>
      <c r="K12" s="488" t="n"/>
      <c r="L12" s="489" t="n"/>
      <c r="M12" s="437">
        <f>SUM(K12:L12)</f>
        <v/>
      </c>
      <c r="N12" s="437" t="n"/>
    </row>
    <row r="13" ht="17.25" customHeight="1">
      <c r="A13" s="101" t="n"/>
      <c r="B13" s="100" t="n"/>
      <c r="C13" s="93" t="n"/>
      <c r="D13" s="101" t="n"/>
      <c r="E13" s="103" t="n"/>
      <c r="F13" s="113" t="n"/>
      <c r="G13" s="113" t="n"/>
      <c r="H13" s="93" t="n"/>
      <c r="I13" s="433" t="n"/>
      <c r="J13" s="507" t="n"/>
      <c r="K13" s="488" t="n"/>
      <c r="L13" s="489" t="n"/>
      <c r="M13" s="437">
        <f>SUM(K13:L13)</f>
        <v/>
      </c>
      <c r="N13" s="437" t="n"/>
    </row>
    <row r="14" ht="18" customHeight="1">
      <c r="A14" s="145" t="n"/>
      <c r="B14" s="48" t="n"/>
      <c r="C14" s="101" t="n"/>
      <c r="D14" s="440" t="n"/>
      <c r="E14" s="39" t="n"/>
      <c r="F14" s="40" t="n"/>
      <c r="G14" s="40" t="n"/>
      <c r="H14" s="93" t="n"/>
      <c r="I14" s="433" t="n"/>
      <c r="J14" s="554" t="n"/>
      <c r="K14" s="437" t="n"/>
      <c r="L14" s="436" t="n"/>
      <c r="M14" s="437">
        <f>SUM(K14:L14)</f>
        <v/>
      </c>
      <c r="N14" s="437" t="n"/>
    </row>
    <row r="15" ht="18" customHeight="1">
      <c r="A15" s="145" t="n"/>
      <c r="B15" s="48" t="n"/>
      <c r="C15" s="101" t="n"/>
      <c r="D15" s="440" t="n"/>
      <c r="E15" s="39" t="n"/>
      <c r="F15" s="40" t="n"/>
      <c r="G15" s="40" t="n"/>
      <c r="H15" s="93" t="n"/>
      <c r="I15" s="433" t="n"/>
      <c r="J15" s="554" t="n"/>
      <c r="K15" s="437" t="n"/>
      <c r="L15" s="436" t="n"/>
      <c r="M15" s="437">
        <f>SUM(K15:L15)</f>
        <v/>
      </c>
      <c r="N15" s="437" t="n"/>
    </row>
    <row r="16" ht="17.25" customHeight="1">
      <c r="A16" s="91" t="n"/>
      <c r="B16" s="48" t="n"/>
      <c r="C16" s="101" t="n"/>
      <c r="D16" s="511" t="n"/>
      <c r="E16" s="39" t="n"/>
      <c r="F16" s="40" t="n"/>
      <c r="G16" s="40" t="n"/>
      <c r="H16" s="39" t="n"/>
      <c r="I16" s="438" t="n"/>
      <c r="J16" s="554" t="n"/>
      <c r="K16" s="437" t="n"/>
      <c r="L16" s="436" t="n"/>
      <c r="M16" s="437">
        <f>SUM(K16:L16)</f>
        <v/>
      </c>
      <c r="N16" s="437" t="n"/>
    </row>
    <row r="17">
      <c r="A17" s="51" t="n"/>
      <c r="B17" s="62" t="n"/>
      <c r="C17" s="53" t="n"/>
      <c r="D17" s="425" t="n"/>
      <c r="E17" s="53" t="n"/>
      <c r="F17" s="61" t="n"/>
      <c r="G17" s="61" t="n"/>
      <c r="H17" s="53" t="n"/>
      <c r="I17" s="453" t="n"/>
      <c r="J17" s="455" t="n"/>
      <c r="K17" s="451" t="n"/>
      <c r="L17" s="451" t="n"/>
      <c r="M17" s="448">
        <f>SUM(K17:L17)</f>
        <v/>
      </c>
      <c r="N17" s="437" t="n"/>
    </row>
    <row r="18">
      <c r="A18" s="51" t="n"/>
      <c r="B18" s="62" t="n"/>
      <c r="C18" s="53" t="n"/>
      <c r="D18" s="425" t="n"/>
      <c r="E18" s="53" t="n"/>
      <c r="F18" s="61" t="n"/>
      <c r="G18" s="61" t="n"/>
      <c r="H18" s="53" t="n"/>
      <c r="I18" s="453" t="n"/>
      <c r="J18" s="455" t="n"/>
      <c r="K18" s="451" t="n"/>
      <c r="L18" s="451" t="n"/>
      <c r="M18" s="448">
        <f>SUM(K18:L18)</f>
        <v/>
      </c>
      <c r="N18" s="437" t="n"/>
    </row>
    <row r="19">
      <c r="A19" s="51" t="n"/>
      <c r="B19" s="62" t="n"/>
      <c r="C19" s="53" t="n"/>
      <c r="D19" s="425" t="n"/>
      <c r="E19" s="53" t="n"/>
      <c r="F19" s="61" t="n"/>
      <c r="G19" s="61" t="n"/>
      <c r="H19" s="53" t="n"/>
      <c r="I19" s="453" t="n"/>
      <c r="J19" s="455" t="n"/>
      <c r="K19" s="451" t="n"/>
      <c r="L19" s="451" t="n"/>
      <c r="M19" s="448">
        <f>SUM(K19:L19)</f>
        <v/>
      </c>
      <c r="N19" s="437" t="n"/>
    </row>
    <row r="20">
      <c r="A20" s="51" t="n"/>
      <c r="B20" s="62" t="n"/>
      <c r="C20" s="53" t="n"/>
      <c r="D20" s="425" t="n"/>
      <c r="E20" s="53" t="n"/>
      <c r="F20" s="61" t="n"/>
      <c r="G20" s="61" t="n"/>
      <c r="H20" s="53" t="n"/>
      <c r="I20" s="453" t="n"/>
      <c r="J20" s="455" t="n"/>
      <c r="K20" s="451" t="n"/>
      <c r="L20" s="451" t="n"/>
      <c r="M20" s="448">
        <f>SUM(K20:L20)</f>
        <v/>
      </c>
      <c r="N20" s="437" t="n"/>
    </row>
    <row r="21">
      <c r="A21" s="51" t="n"/>
      <c r="B21" s="62" t="n"/>
      <c r="C21" s="53" t="n"/>
      <c r="D21" s="456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48">
        <f>SUM(K21:L21)</f>
        <v/>
      </c>
      <c r="N21" s="437" t="n"/>
    </row>
    <row r="22">
      <c r="A22" s="51" t="n"/>
      <c r="B22" s="62" t="n"/>
      <c r="C22" s="53" t="n"/>
      <c r="D22" s="53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48">
        <f>SUM(K22:L22)</f>
        <v/>
      </c>
      <c r="N22" s="437" t="n"/>
    </row>
    <row r="23">
      <c r="A23" s="51" t="n"/>
      <c r="B23" s="62" t="n"/>
      <c r="C23" s="53" t="n"/>
      <c r="D23" s="476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48">
        <f>SUM(K23:L23)</f>
        <v/>
      </c>
      <c r="N23" s="437" t="n"/>
    </row>
    <row r="24">
      <c r="A24" s="51" t="n"/>
      <c r="B24" s="62" t="n"/>
      <c r="C24" s="53" t="n"/>
      <c r="D24" s="425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48">
        <f>SUM(K24:L24)</f>
        <v/>
      </c>
      <c r="N24" s="437" t="n"/>
    </row>
    <row r="25">
      <c r="A25" s="51" t="n"/>
      <c r="B25" s="62" t="n"/>
      <c r="C25" s="53" t="n"/>
      <c r="D25" s="9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48">
        <f>SUM(K25:L25)</f>
        <v/>
      </c>
      <c r="N25" s="437" t="n"/>
    </row>
    <row r="26">
      <c r="A26" s="51" t="n"/>
      <c r="B26" s="62" t="n"/>
      <c r="C26" s="53" t="n"/>
      <c r="D26" s="425" t="n"/>
      <c r="E26" s="53" t="n"/>
      <c r="F26" s="61" t="n"/>
      <c r="G26" s="61" t="n"/>
      <c r="H26" s="53" t="n"/>
      <c r="I26" s="453" t="n"/>
      <c r="J26" s="455" t="n"/>
      <c r="K26" s="451" t="n"/>
      <c r="L26" s="451" t="n"/>
      <c r="M26" s="448">
        <f>SUM(K26:L26)</f>
        <v/>
      </c>
      <c r="N26" s="437" t="n"/>
    </row>
    <row r="27">
      <c r="A27" s="51" t="n"/>
      <c r="B27" s="62" t="n"/>
      <c r="C27" s="53" t="n"/>
      <c r="D27" s="425" t="n"/>
      <c r="E27" s="53" t="n"/>
      <c r="F27" s="61" t="n"/>
      <c r="G27" s="61" t="n"/>
      <c r="H27" s="53" t="n"/>
      <c r="I27" s="453" t="n"/>
      <c r="J27" s="455" t="n"/>
      <c r="K27" s="451" t="n"/>
      <c r="L27" s="451" t="n"/>
      <c r="M27" s="448">
        <f>SUM(K27:L27)</f>
        <v/>
      </c>
      <c r="N27" s="437" t="n"/>
    </row>
    <row r="28">
      <c r="A28" s="51" t="n"/>
      <c r="B28" s="62" t="n"/>
      <c r="C28" s="53" t="n"/>
      <c r="D28" s="456" t="n"/>
      <c r="E28" s="10" t="n"/>
      <c r="F28" s="61" t="n"/>
      <c r="G28" s="61" t="n"/>
      <c r="H28" s="10" t="n"/>
      <c r="I28" s="461" t="n"/>
      <c r="J28" s="458" t="n"/>
      <c r="K28" s="459" t="n"/>
      <c r="L28" s="459" t="n"/>
      <c r="M28" s="448">
        <f>SUM(K28:L28)</f>
        <v/>
      </c>
      <c r="N28" s="437" t="n"/>
    </row>
    <row r="29">
      <c r="A29" s="14" t="n"/>
      <c r="B29" s="15" t="n"/>
      <c r="C29" s="10" t="n"/>
      <c r="D29" s="425" t="n"/>
      <c r="E29" s="10" t="n"/>
      <c r="F29" s="61" t="n"/>
      <c r="G29" s="61" t="n"/>
      <c r="H29" s="10" t="n"/>
      <c r="I29" s="461" t="n"/>
      <c r="J29" s="458" t="n"/>
      <c r="K29" s="459" t="n"/>
      <c r="L29" s="459" t="n"/>
      <c r="M29" s="448">
        <f>SUM(K29:L29)</f>
        <v/>
      </c>
      <c r="N29" s="437" t="n"/>
    </row>
    <row r="30">
      <c r="A30" s="14" t="n"/>
      <c r="B30" s="15" t="n"/>
      <c r="C30" s="10" t="n"/>
      <c r="D30" s="460" t="n"/>
      <c r="E30" s="10" t="n"/>
      <c r="F30" s="61" t="n"/>
      <c r="G30" s="61" t="n"/>
      <c r="H30" s="10" t="n"/>
      <c r="I30" s="461" t="n"/>
      <c r="J30" s="458" t="n"/>
      <c r="K30" s="459" t="n"/>
      <c r="L30" s="459" t="n"/>
      <c r="M30" s="448">
        <f>SUM(K30:L30)</f>
        <v/>
      </c>
      <c r="N30" s="437" t="n"/>
    </row>
    <row r="31">
      <c r="A31" s="14" t="n"/>
      <c r="B31" s="15" t="n"/>
      <c r="C31" s="10" t="n"/>
      <c r="D31" s="460" t="n"/>
      <c r="E31" s="10" t="n"/>
      <c r="F31" s="61" t="n"/>
      <c r="G31" s="61" t="n"/>
      <c r="H31" s="10" t="n"/>
      <c r="I31" s="461" t="n"/>
      <c r="J31" s="458" t="n"/>
      <c r="K31" s="459" t="n"/>
      <c r="L31" s="459" t="n"/>
      <c r="M31" s="448">
        <f>SUM(K31:L31)</f>
        <v/>
      </c>
      <c r="N31" s="437" t="n"/>
    </row>
    <row r="32">
      <c r="A32" s="14" t="n"/>
      <c r="B32" s="15" t="n"/>
      <c r="C32" s="10" t="n"/>
      <c r="D32" s="425" t="n"/>
      <c r="E32" s="10" t="n"/>
      <c r="F32" s="61" t="n"/>
      <c r="G32" s="61" t="n"/>
      <c r="H32" s="10" t="n"/>
      <c r="I32" s="461" t="n"/>
      <c r="J32" s="458" t="n"/>
      <c r="K32" s="459" t="n"/>
      <c r="L32" s="459" t="n"/>
      <c r="M32" s="448">
        <f>SUM(K32:L32)</f>
        <v/>
      </c>
      <c r="N32" s="437" t="n"/>
    </row>
    <row r="33">
      <c r="A33" s="17" t="n"/>
      <c r="B33" s="18" t="n"/>
      <c r="C33" s="10" t="n"/>
      <c r="D33" s="452" t="n"/>
      <c r="E33" s="10" t="n"/>
      <c r="F33" s="61" t="n"/>
      <c r="G33" s="61" t="n"/>
      <c r="H33" s="10" t="n"/>
      <c r="I33" s="461" t="n"/>
      <c r="J33" s="458" t="n"/>
      <c r="K33" s="459" t="n"/>
      <c r="L33" s="459" t="n"/>
      <c r="M33" s="448">
        <f>SUM(K33:L33)</f>
        <v/>
      </c>
      <c r="N33" s="437" t="n"/>
    </row>
    <row r="34">
      <c r="A34" s="17" t="n"/>
      <c r="B34" s="18" t="n"/>
      <c r="C34" s="10" t="n"/>
      <c r="D34" s="452" t="n"/>
      <c r="E34" s="10" t="n"/>
      <c r="F34" s="61" t="n"/>
      <c r="G34" s="61" t="n"/>
      <c r="H34" s="10" t="n"/>
      <c r="I34" s="461" t="n"/>
      <c r="J34" s="458" t="n"/>
      <c r="K34" s="459" t="n"/>
      <c r="L34" s="459" t="n"/>
      <c r="M34" s="448">
        <f>SUM(K34:L34)</f>
        <v/>
      </c>
      <c r="N34" s="437" t="n"/>
    </row>
    <row r="35">
      <c r="A35" s="17" t="n"/>
      <c r="B35" s="18" t="n"/>
      <c r="C35" s="10" t="n"/>
      <c r="D35" s="452" t="n"/>
      <c r="E35" s="10" t="n"/>
      <c r="F35" s="61" t="n"/>
      <c r="G35" s="61" t="n"/>
      <c r="H35" s="10" t="n"/>
      <c r="I35" s="461" t="n"/>
      <c r="J35" s="458" t="n"/>
      <c r="K35" s="459" t="n"/>
      <c r="L35" s="459" t="n"/>
      <c r="M35" s="448">
        <f>SUM(K35:L35)</f>
        <v/>
      </c>
      <c r="N35" s="437" t="n"/>
    </row>
    <row r="36">
      <c r="A36" s="17" t="n"/>
      <c r="B36" s="18" t="n"/>
      <c r="C36" s="10" t="n"/>
      <c r="D36" s="452" t="n"/>
      <c r="E36" s="10" t="n"/>
      <c r="F36" s="61" t="n"/>
      <c r="G36" s="61" t="n"/>
      <c r="H36" s="10" t="n"/>
      <c r="I36" s="461" t="n"/>
      <c r="J36" s="458" t="n"/>
      <c r="K36" s="459" t="n"/>
      <c r="L36" s="459" t="n"/>
      <c r="M36" s="448">
        <f>SUM(K36:L36)</f>
        <v/>
      </c>
      <c r="N36" s="437" t="n"/>
    </row>
    <row r="37">
      <c r="A37" s="14" t="n"/>
      <c r="B37" s="15" t="n"/>
      <c r="C37" s="10" t="n"/>
      <c r="D37" s="476" t="n"/>
      <c r="E37" s="10" t="n"/>
      <c r="F37" s="61" t="n"/>
      <c r="G37" s="61" t="n"/>
      <c r="H37" s="10" t="n"/>
      <c r="I37" s="461" t="n"/>
      <c r="J37" s="458" t="n"/>
      <c r="K37" s="459" t="n"/>
      <c r="L37" s="459" t="n"/>
      <c r="M37" s="448">
        <f>SUM(K37:L37)</f>
        <v/>
      </c>
      <c r="N37" s="437" t="n"/>
    </row>
    <row r="38">
      <c r="A38" s="14" t="n"/>
      <c r="B38" s="15" t="n"/>
      <c r="C38" s="53" t="n"/>
      <c r="D38" s="476" t="n"/>
      <c r="E38" s="53" t="n"/>
      <c r="F38" s="62" t="n"/>
      <c r="G38" s="62" t="n"/>
      <c r="H38" s="53" t="n"/>
      <c r="I38" s="453" t="n"/>
      <c r="J38" s="455" t="n"/>
      <c r="K38" s="451" t="n"/>
      <c r="L38" s="451" t="n"/>
      <c r="M38" s="448">
        <f>SUM(K38:L38)</f>
        <v/>
      </c>
      <c r="N38" s="437" t="n"/>
    </row>
    <row r="39">
      <c r="A39" s="20" t="n"/>
      <c r="B39" s="21" t="n"/>
      <c r="C39" s="22" t="n"/>
      <c r="D39" s="21" t="n"/>
      <c r="E39" s="21" t="n"/>
      <c r="F39" s="21" t="n"/>
      <c r="G39" s="21" t="n"/>
      <c r="H39" s="21" t="n"/>
      <c r="I39" s="465" t="n"/>
      <c r="J39" s="469" t="n"/>
      <c r="K39" s="470" t="n"/>
      <c r="L39" s="470" t="n"/>
      <c r="M39" s="470" t="n"/>
      <c r="N39" s="437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9" t="n"/>
      <c r="K40" s="470" t="n"/>
      <c r="L40" s="470" t="n"/>
      <c r="M40" s="472">
        <f>SUM(M2:M39)</f>
        <v/>
      </c>
      <c r="N40" s="472">
        <f>SUM(N2:N39)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9" t="n"/>
      <c r="K41" s="470" t="n"/>
      <c r="L41" s="470" t="n"/>
      <c r="M41" s="473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9" t="n"/>
      <c r="K42" s="470" t="n"/>
      <c r="L42" s="47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134"/>
  <sheetViews>
    <sheetView topLeftCell="A30" zoomScale="79" zoomScaleNormal="79" workbookViewId="0">
      <selection activeCell="D19" sqref="D19"/>
    </sheetView>
  </sheetViews>
  <sheetFormatPr baseColWidth="8" defaultColWidth="8.75" defaultRowHeight="15"/>
  <cols>
    <col width="9" customWidth="1" style="29" min="1" max="1"/>
    <col width="59.5" customWidth="1" min="3" max="3"/>
    <col width="28.375" customWidth="1" min="4" max="4"/>
    <col width="9" bestFit="1" customWidth="1" min="5" max="7"/>
    <col width="11.5" bestFit="1" customWidth="1" min="8" max="8"/>
    <col width="9.5" customWidth="1" min="9" max="9"/>
    <col width="31.875" customWidth="1" style="423" min="10" max="10"/>
    <col width="9" bestFit="1" customWidth="1" style="424" min="11" max="12"/>
    <col width="15.125" customWidth="1" style="424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5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Format="1" customHeight="1" s="112">
      <c r="A2" s="182" t="inlineStr">
        <is>
          <t>538799</t>
        </is>
      </c>
      <c r="B2" s="133" t="n">
        <v>0.1319444444444444</v>
      </c>
      <c r="C2" s="134" t="inlineStr">
        <is>
          <t>TST &gt; AP</t>
        </is>
      </c>
      <c r="D2" s="101" t="inlineStr">
        <is>
          <t>Eva WH9918 97062468</t>
        </is>
      </c>
      <c r="E2" s="134" t="inlineStr">
        <is>
          <t>Done</t>
        </is>
      </c>
      <c r="F2" s="133" t="n">
        <v>0.1305555555555556</v>
      </c>
      <c r="G2" s="133" t="n">
        <v>0.1520833333333333</v>
      </c>
      <c r="H2" s="134" t="n"/>
      <c r="I2" s="555" t="n"/>
      <c r="J2" s="485" t="inlineStr">
        <is>
          <t>OT$60</t>
        </is>
      </c>
      <c r="K2" s="445" t="n">
        <v>60</v>
      </c>
      <c r="L2" s="522" t="n">
        <v>400</v>
      </c>
      <c r="M2" s="445">
        <f>SUM(K2:L2)</f>
        <v/>
      </c>
      <c r="N2" s="437" t="n">
        <v>30</v>
      </c>
    </row>
    <row r="3" ht="17.25" customFormat="1" customHeight="1" s="112">
      <c r="A3" s="314" t="inlineStr">
        <is>
          <t>538800</t>
        </is>
      </c>
      <c r="B3" s="133" t="n">
        <v>0.1458333333333333</v>
      </c>
      <c r="C3" s="134" t="inlineStr">
        <is>
          <t>MB509 &gt; TST</t>
        </is>
      </c>
      <c r="D3" s="492" t="inlineStr">
        <is>
          <t>Eva WH9918 97062468</t>
        </is>
      </c>
      <c r="E3" s="183" t="inlineStr">
        <is>
          <t>Done</t>
        </is>
      </c>
      <c r="F3" s="133" t="n">
        <v>0.1805555555555556</v>
      </c>
      <c r="G3" s="133" t="n">
        <v>0.1993055555555556</v>
      </c>
      <c r="H3" s="126" t="n"/>
      <c r="I3" s="513" t="n"/>
      <c r="J3" s="507" t="inlineStr">
        <is>
          <t>OT$60, P$35</t>
        </is>
      </c>
      <c r="K3" s="488" t="n">
        <v>95</v>
      </c>
      <c r="L3" s="489" t="n">
        <v>400</v>
      </c>
      <c r="M3" s="447">
        <f>SUM(K3:L3)</f>
        <v/>
      </c>
      <c r="N3" s="437" t="n">
        <v>30</v>
      </c>
    </row>
    <row r="4" ht="17.25" customFormat="1" customHeight="1" s="112">
      <c r="A4" s="314" t="inlineStr">
        <is>
          <t>538800</t>
        </is>
      </c>
      <c r="B4" s="133" t="n">
        <v>0.1458333333333333</v>
      </c>
      <c r="C4" s="134" t="inlineStr">
        <is>
          <t>MB509 &gt; TST</t>
        </is>
      </c>
      <c r="D4" s="492" t="inlineStr">
        <is>
          <t>賢 GE240 84039198</t>
        </is>
      </c>
      <c r="E4" s="183" t="inlineStr">
        <is>
          <t>Done</t>
        </is>
      </c>
      <c r="F4" s="133" t="n">
        <v>0.1805555555555556</v>
      </c>
      <c r="G4" s="133" t="n">
        <v>0.1993055555555556</v>
      </c>
      <c r="H4" s="126" t="n"/>
      <c r="I4" s="513" t="n"/>
      <c r="J4" s="507" t="inlineStr">
        <is>
          <t>OT$60, P$35</t>
        </is>
      </c>
      <c r="K4" s="488" t="n">
        <v>95</v>
      </c>
      <c r="L4" s="489" t="n">
        <v>400</v>
      </c>
      <c r="M4" s="447">
        <f>SUM(K4:L4)</f>
        <v/>
      </c>
      <c r="N4" s="437" t="n">
        <v>30</v>
      </c>
    </row>
    <row r="5" ht="17.25" customFormat="1" customHeight="1" s="112">
      <c r="A5" s="126" t="n">
        <v>538801</v>
      </c>
      <c r="B5" s="133" t="n">
        <v>0.1944444444444444</v>
      </c>
      <c r="C5" s="134" t="inlineStr">
        <is>
          <t>TST &gt; AP</t>
        </is>
      </c>
      <c r="D5" s="523" t="inlineStr">
        <is>
          <t>Soo WC4555 60977620</t>
        </is>
      </c>
      <c r="E5" s="183" t="inlineStr">
        <is>
          <t>Done</t>
        </is>
      </c>
      <c r="F5" s="133" t="n">
        <v>0.1944444444444444</v>
      </c>
      <c r="G5" s="133" t="n">
        <v>0.2152777777777778</v>
      </c>
      <c r="H5" s="134" t="n"/>
      <c r="I5" s="555" t="n"/>
      <c r="J5" s="556" t="inlineStr">
        <is>
          <t>OT$60</t>
        </is>
      </c>
      <c r="K5" s="488" t="n">
        <v>60</v>
      </c>
      <c r="L5" s="489" t="n">
        <v>400</v>
      </c>
      <c r="M5" s="447">
        <f>SUM(K5:L5)</f>
        <v/>
      </c>
      <c r="N5" s="437" t="n">
        <v>30</v>
      </c>
    </row>
    <row r="6" ht="17.25" customFormat="1" customHeight="1" s="112">
      <c r="A6" s="126" t="n"/>
      <c r="B6" s="133" t="n"/>
      <c r="C6" s="134" t="n"/>
      <c r="D6" s="126" t="n"/>
      <c r="E6" s="183" t="n"/>
      <c r="F6" s="133" t="n"/>
      <c r="G6" s="133" t="n"/>
      <c r="H6" s="134" t="n"/>
      <c r="I6" s="555" t="n"/>
      <c r="J6" s="507" t="n"/>
      <c r="K6" s="488" t="n"/>
      <c r="L6" s="489" t="n"/>
      <c r="M6" s="447">
        <f>SUM(K6:L6)</f>
        <v/>
      </c>
      <c r="N6" s="437" t="n"/>
    </row>
    <row r="7" ht="17.25" customFormat="1" customHeight="1" s="112">
      <c r="A7" s="182" t="n"/>
      <c r="B7" s="133" t="n"/>
      <c r="C7" s="126" t="n"/>
      <c r="D7" s="440" t="n"/>
      <c r="E7" s="126" t="n"/>
      <c r="F7" s="127" t="n"/>
      <c r="G7" s="127" t="n"/>
      <c r="H7" s="134" t="n"/>
      <c r="I7" s="555" t="n"/>
      <c r="J7" s="556" t="n"/>
      <c r="K7" s="488" t="n"/>
      <c r="L7" s="489" t="n"/>
      <c r="M7" s="447">
        <f>SUM(K7:L7)</f>
        <v/>
      </c>
      <c r="N7" s="437" t="n"/>
    </row>
    <row r="8" ht="17.25" customFormat="1" customHeight="1" s="112">
      <c r="A8" s="126" t="n"/>
      <c r="B8" s="133" t="n"/>
      <c r="C8" s="126" t="n"/>
      <c r="D8" s="440" t="n"/>
      <c r="E8" s="126" t="n"/>
      <c r="F8" s="127" t="n"/>
      <c r="G8" s="127" t="n"/>
      <c r="H8" s="134" t="n"/>
      <c r="I8" s="555" t="n"/>
      <c r="J8" s="513" t="n"/>
      <c r="K8" s="445" t="n"/>
      <c r="L8" s="522" t="n"/>
      <c r="M8" s="445">
        <f>SUM(K8:L8)</f>
        <v/>
      </c>
      <c r="N8" s="437" t="n"/>
    </row>
    <row r="9" ht="17.25" customFormat="1" customHeight="1" s="112">
      <c r="A9" s="91" t="n"/>
      <c r="B9" s="48" t="n"/>
      <c r="C9" s="370" t="n"/>
      <c r="D9" s="440" t="n"/>
      <c r="E9" s="39" t="n"/>
      <c r="F9" s="40" t="n"/>
      <c r="G9" s="40" t="n"/>
      <c r="H9" s="39" t="n"/>
      <c r="I9" s="438" t="n"/>
      <c r="J9" s="441" t="n"/>
      <c r="K9" s="437" t="n"/>
      <c r="L9" s="436" t="n"/>
      <c r="M9" s="447">
        <f>SUM(K9:L9)</f>
        <v/>
      </c>
      <c r="N9" s="437" t="n"/>
    </row>
    <row r="10" ht="17.25" customFormat="1" customHeight="1" s="112">
      <c r="A10" s="91" t="n"/>
      <c r="B10" s="48" t="n"/>
      <c r="C10" s="101" t="n"/>
      <c r="D10" s="440" t="n"/>
      <c r="E10" s="39" t="n"/>
      <c r="F10" s="40" t="n"/>
      <c r="G10" s="40" t="n"/>
      <c r="H10" s="449" t="n"/>
      <c r="I10" s="438" t="n"/>
      <c r="J10" s="441" t="n"/>
      <c r="K10" s="437" t="n"/>
      <c r="L10" s="436" t="n"/>
      <c r="M10" s="447">
        <f>SUM(K10:L10)</f>
        <v/>
      </c>
      <c r="N10" s="437" t="n"/>
    </row>
    <row r="11">
      <c r="A11" s="91" t="n"/>
      <c r="B11" s="48" t="n"/>
      <c r="C11" s="39" t="n"/>
      <c r="D11" s="440" t="n"/>
      <c r="E11" s="39" t="n"/>
      <c r="F11" s="40" t="n"/>
      <c r="G11" s="40" t="n"/>
      <c r="H11" s="39" t="n"/>
      <c r="I11" s="438" t="n"/>
      <c r="J11" s="438" t="n"/>
      <c r="K11" s="437" t="n"/>
      <c r="L11" s="436" t="n"/>
      <c r="M11" s="447">
        <f>SUM(K11:L11)</f>
        <v/>
      </c>
      <c r="N11" s="437" t="n"/>
    </row>
    <row r="12" ht="17.25" customHeight="1">
      <c r="A12" s="91" t="n"/>
      <c r="B12" s="46" t="n"/>
      <c r="C12" s="93" t="n"/>
      <c r="D12" s="440" t="n"/>
      <c r="E12" s="39" t="n"/>
      <c r="F12" s="40" t="n"/>
      <c r="G12" s="40" t="n"/>
      <c r="H12" s="39" t="n"/>
      <c r="I12" s="438" t="n"/>
      <c r="J12" s="441" t="n"/>
      <c r="K12" s="437" t="n"/>
      <c r="L12" s="436" t="n"/>
      <c r="M12" s="447">
        <f>SUM(K12:L12)</f>
        <v/>
      </c>
      <c r="N12" s="437" t="n"/>
    </row>
    <row r="13" ht="17.25" customHeight="1">
      <c r="A13" s="91" t="n"/>
      <c r="B13" s="48" t="n"/>
      <c r="C13" s="93" t="n"/>
      <c r="D13" s="432" t="n"/>
      <c r="E13" s="39" t="n"/>
      <c r="F13" s="40" t="n"/>
      <c r="G13" s="40" t="n"/>
      <c r="H13" s="39" t="n"/>
      <c r="I13" s="438" t="n"/>
      <c r="J13" s="441" t="n"/>
      <c r="K13" s="437" t="n"/>
      <c r="L13" s="436" t="n"/>
      <c r="M13" s="447">
        <f>SUM(K13:L13)</f>
        <v/>
      </c>
      <c r="N13" s="437" t="n"/>
    </row>
    <row r="14">
      <c r="A14" s="47" t="n"/>
      <c r="B14" s="48" t="n"/>
      <c r="C14" s="39" t="n"/>
      <c r="D14" s="454" t="n"/>
      <c r="E14" s="39" t="n"/>
      <c r="F14" s="40" t="n"/>
      <c r="G14" s="40" t="n"/>
      <c r="H14" s="39" t="n"/>
      <c r="I14" s="438" t="n"/>
      <c r="J14" s="438" t="n"/>
      <c r="K14" s="437" t="n"/>
      <c r="L14" s="436" t="n"/>
      <c r="M14" s="447">
        <f>SUM(K14:L14)</f>
        <v/>
      </c>
      <c r="N14" s="437" t="n"/>
    </row>
    <row r="15">
      <c r="A15" s="254" t="n"/>
      <c r="B15" s="168" t="n"/>
      <c r="C15" s="39" t="n"/>
      <c r="D15" s="440" t="n"/>
      <c r="E15" s="39" t="n"/>
      <c r="F15" s="40" t="n"/>
      <c r="G15" s="40" t="n"/>
      <c r="H15" s="39" t="n"/>
      <c r="I15" s="438" t="n"/>
      <c r="J15" s="441" t="n"/>
      <c r="K15" s="437" t="n"/>
      <c r="L15" s="437" t="n"/>
      <c r="M15" s="447">
        <f>SUM(K15:L15)</f>
        <v/>
      </c>
      <c r="N15" s="437" t="n"/>
    </row>
    <row r="16">
      <c r="A16" s="1" t="n"/>
      <c r="B16" s="8" t="n"/>
      <c r="C16" s="53" t="n"/>
      <c r="D16" s="425" t="n"/>
      <c r="E16" s="53" t="n"/>
      <c r="F16" s="61" t="n"/>
      <c r="G16" s="61" t="n"/>
      <c r="H16" s="53" t="n"/>
      <c r="I16" s="453" t="n"/>
      <c r="J16" s="455" t="n"/>
      <c r="K16" s="451" t="n"/>
      <c r="L16" s="451" t="n"/>
      <c r="M16" s="447">
        <f>SUM(K16:L16)</f>
        <v/>
      </c>
      <c r="N16" s="437" t="n"/>
    </row>
    <row r="17">
      <c r="A17" s="51" t="n"/>
      <c r="B17" s="62" t="n"/>
      <c r="C17" s="53" t="n"/>
      <c r="D17" s="425" t="n"/>
      <c r="E17" s="53" t="n"/>
      <c r="F17" s="61" t="n"/>
      <c r="G17" s="61" t="n"/>
      <c r="H17" s="53" t="n"/>
      <c r="I17" s="453" t="n"/>
      <c r="J17" s="455" t="n"/>
      <c r="K17" s="451" t="n"/>
      <c r="L17" s="451" t="n"/>
      <c r="M17" s="447">
        <f>SUM(K17:L17)</f>
        <v/>
      </c>
      <c r="N17" s="437" t="n"/>
    </row>
    <row r="18">
      <c r="A18" s="51" t="n"/>
      <c r="B18" s="62" t="n"/>
      <c r="C18" s="53" t="n"/>
      <c r="D18" s="425" t="n"/>
      <c r="E18" s="53" t="n"/>
      <c r="F18" s="61" t="n"/>
      <c r="G18" s="61" t="n"/>
      <c r="H18" s="53" t="n"/>
      <c r="I18" s="453" t="n"/>
      <c r="J18" s="455" t="n"/>
      <c r="K18" s="451" t="n"/>
      <c r="L18" s="451" t="n"/>
      <c r="M18" s="447">
        <f>SUM(K18:L18)</f>
        <v/>
      </c>
      <c r="N18" s="437" t="n"/>
    </row>
    <row r="19">
      <c r="A19" s="51" t="n"/>
      <c r="B19" s="62" t="n"/>
      <c r="C19" s="53" t="n"/>
      <c r="D19" s="425" t="n"/>
      <c r="E19" s="53" t="n"/>
      <c r="F19" s="61" t="n"/>
      <c r="G19" s="61" t="n"/>
      <c r="H19" s="53" t="n"/>
      <c r="I19" s="453" t="n"/>
      <c r="J19" s="455" t="n"/>
      <c r="K19" s="451" t="n"/>
      <c r="L19" s="451" t="n"/>
      <c r="M19" s="447">
        <f>SUM(K19:L19)</f>
        <v/>
      </c>
      <c r="N19" s="437" t="n"/>
    </row>
    <row r="20">
      <c r="A20" s="51" t="n"/>
      <c r="B20" s="62" t="n"/>
      <c r="C20" s="53" t="n"/>
      <c r="D20" s="425" t="n"/>
      <c r="E20" s="53" t="n"/>
      <c r="F20" s="61" t="n"/>
      <c r="G20" s="61" t="n"/>
      <c r="H20" s="53" t="n"/>
      <c r="I20" s="453" t="n"/>
      <c r="J20" s="455" t="n"/>
      <c r="K20" s="451" t="n"/>
      <c r="L20" s="451" t="n"/>
      <c r="M20" s="447">
        <f>SUM(K20:L20)</f>
        <v/>
      </c>
      <c r="N20" s="437" t="n"/>
    </row>
    <row r="21">
      <c r="A21" s="51" t="n"/>
      <c r="B21" s="62" t="n"/>
      <c r="C21" s="53" t="n"/>
      <c r="D21" s="456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47">
        <f>SUM(K21:L21)</f>
        <v/>
      </c>
      <c r="N21" s="437" t="n"/>
    </row>
    <row r="22">
      <c r="A22" s="51" t="n"/>
      <c r="B22" s="62" t="n"/>
      <c r="C22" s="53" t="n"/>
      <c r="D22" s="53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47">
        <f>SUM(K22:L22)</f>
        <v/>
      </c>
      <c r="N22" s="437" t="n"/>
    </row>
    <row r="23">
      <c r="A23" s="51" t="n"/>
      <c r="B23" s="62" t="n"/>
      <c r="C23" s="53" t="n"/>
      <c r="D23" s="53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47">
        <f>SUM(K23:L23)</f>
        <v/>
      </c>
      <c r="N23" s="437" t="n"/>
    </row>
    <row r="24">
      <c r="A24" s="51" t="n"/>
      <c r="B24" s="62" t="n"/>
      <c r="C24" s="53" t="n"/>
      <c r="D24" s="425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47">
        <f>SUM(K24:L24)</f>
        <v/>
      </c>
      <c r="N24" s="437" t="n"/>
    </row>
    <row r="25">
      <c r="A25" s="51" t="n"/>
      <c r="B25" s="62" t="n"/>
      <c r="C25" s="53" t="n"/>
      <c r="D25" s="476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47">
        <f>SUM(K25:L25)</f>
        <v/>
      </c>
      <c r="N25" s="437" t="n"/>
    </row>
    <row r="26">
      <c r="A26" s="51" t="n"/>
      <c r="B26" s="62" t="n"/>
      <c r="C26" s="53" t="n"/>
      <c r="D26" s="425" t="n"/>
      <c r="E26" s="53" t="n"/>
      <c r="F26" s="61" t="n"/>
      <c r="G26" s="61" t="n"/>
      <c r="H26" s="53" t="n"/>
      <c r="I26" s="453" t="n"/>
      <c r="J26" s="455" t="n"/>
      <c r="K26" s="451" t="n"/>
      <c r="L26" s="451" t="n"/>
      <c r="M26" s="447">
        <f>SUM(K26:L26)</f>
        <v/>
      </c>
      <c r="N26" s="437" t="n"/>
    </row>
    <row r="27">
      <c r="A27" s="51" t="n"/>
      <c r="B27" s="62" t="n"/>
      <c r="C27" s="53" t="n"/>
      <c r="D27" s="147" t="n"/>
      <c r="E27" s="53" t="n"/>
      <c r="F27" s="61" t="n"/>
      <c r="G27" s="61" t="n"/>
      <c r="H27" s="53" t="n"/>
      <c r="I27" s="453" t="n"/>
      <c r="J27" s="455" t="n"/>
      <c r="K27" s="451" t="n"/>
      <c r="L27" s="451" t="n"/>
      <c r="M27" s="447">
        <f>SUM(K27:L27)</f>
        <v/>
      </c>
      <c r="N27" s="437" t="n"/>
    </row>
    <row r="28">
      <c r="A28" s="51" t="n"/>
      <c r="B28" s="62" t="n"/>
      <c r="C28" s="53" t="n"/>
      <c r="D28" s="425" t="n"/>
      <c r="E28" s="53" t="n"/>
      <c r="F28" s="61" t="n"/>
      <c r="G28" s="61" t="n"/>
      <c r="H28" s="53" t="n"/>
      <c r="I28" s="453" t="n"/>
      <c r="J28" s="455" t="n"/>
      <c r="K28" s="451" t="n"/>
      <c r="L28" s="451" t="n"/>
      <c r="M28" s="447">
        <f>SUM(K28:L28)</f>
        <v/>
      </c>
      <c r="N28" s="437" t="n"/>
    </row>
    <row r="29">
      <c r="A29" s="51" t="n"/>
      <c r="B29" s="62" t="n"/>
      <c r="C29" s="53" t="n"/>
      <c r="D29" s="425" t="n"/>
      <c r="E29" s="53" t="n"/>
      <c r="F29" s="61" t="n"/>
      <c r="G29" s="61" t="n"/>
      <c r="H29" s="53" t="n"/>
      <c r="I29" s="453" t="n"/>
      <c r="J29" s="455" t="n"/>
      <c r="K29" s="451" t="n"/>
      <c r="L29" s="451" t="n"/>
      <c r="M29" s="447">
        <f>SUM(K29:L29)</f>
        <v/>
      </c>
      <c r="N29" s="437" t="n"/>
    </row>
    <row r="30">
      <c r="A30" s="51" t="n"/>
      <c r="B30" s="62" t="n"/>
      <c r="C30" s="53" t="n"/>
      <c r="D30" s="456" t="n"/>
      <c r="E30" s="10" t="n"/>
      <c r="F30" s="61" t="n"/>
      <c r="G30" s="61" t="n"/>
      <c r="H30" s="10" t="n"/>
      <c r="I30" s="461" t="n"/>
      <c r="J30" s="458" t="n"/>
      <c r="K30" s="459" t="n"/>
      <c r="L30" s="459" t="n"/>
      <c r="M30" s="447">
        <f>SUM(K30:L30)</f>
        <v/>
      </c>
      <c r="N30" s="437" t="n"/>
    </row>
    <row r="31">
      <c r="A31" s="14" t="n"/>
      <c r="B31" s="15" t="n"/>
      <c r="C31" s="10" t="n"/>
      <c r="D31" s="425" t="n"/>
      <c r="E31" s="10" t="n"/>
      <c r="F31" s="61" t="n"/>
      <c r="G31" s="61" t="n"/>
      <c r="H31" s="10" t="n"/>
      <c r="I31" s="461" t="n"/>
      <c r="J31" s="458" t="n"/>
      <c r="K31" s="459" t="n"/>
      <c r="L31" s="459" t="n"/>
      <c r="M31" s="447">
        <f>SUM(K31:L31)</f>
        <v/>
      </c>
      <c r="N31" s="437" t="n"/>
    </row>
    <row r="32">
      <c r="A32" s="14" t="n"/>
      <c r="B32" s="15" t="n"/>
      <c r="C32" s="10" t="n"/>
      <c r="D32" s="460" t="n"/>
      <c r="E32" s="10" t="n"/>
      <c r="F32" s="61" t="n"/>
      <c r="G32" s="61" t="n"/>
      <c r="H32" s="10" t="n"/>
      <c r="I32" s="461" t="n"/>
      <c r="J32" s="458" t="n"/>
      <c r="K32" s="459" t="n"/>
      <c r="L32" s="459" t="n"/>
      <c r="M32" s="447">
        <f>SUM(K32:L32)</f>
        <v/>
      </c>
      <c r="N32" s="437" t="n"/>
    </row>
    <row r="33">
      <c r="A33" s="14" t="n"/>
      <c r="B33" s="15" t="n"/>
      <c r="C33" s="10" t="n"/>
      <c r="D33" s="460" t="n"/>
      <c r="E33" s="10" t="n"/>
      <c r="F33" s="61" t="n"/>
      <c r="G33" s="61" t="n"/>
      <c r="H33" s="10" t="n"/>
      <c r="I33" s="461" t="n"/>
      <c r="J33" s="458" t="n"/>
      <c r="K33" s="459" t="n"/>
      <c r="L33" s="459" t="n"/>
      <c r="M33" s="447">
        <f>SUM(K33:L33)</f>
        <v/>
      </c>
      <c r="N33" s="437" t="n"/>
    </row>
    <row r="34">
      <c r="A34" s="14" t="n"/>
      <c r="B34" s="15" t="n"/>
      <c r="C34" s="10" t="n"/>
      <c r="D34" s="425" t="n"/>
      <c r="E34" s="10" t="n"/>
      <c r="F34" s="61" t="n"/>
      <c r="G34" s="61" t="n"/>
      <c r="H34" s="10" t="n"/>
      <c r="I34" s="461" t="n"/>
      <c r="J34" s="458" t="n"/>
      <c r="K34" s="459" t="n"/>
      <c r="L34" s="459" t="n"/>
      <c r="M34" s="447">
        <f>SUM(K34:L34)</f>
        <v/>
      </c>
      <c r="N34" s="437" t="n"/>
    </row>
    <row r="35">
      <c r="A35" s="17" t="n"/>
      <c r="B35" s="18" t="n"/>
      <c r="C35" s="10" t="n"/>
      <c r="D35" s="452" t="n"/>
      <c r="E35" s="10" t="n"/>
      <c r="F35" s="61" t="n"/>
      <c r="G35" s="61" t="n"/>
      <c r="H35" s="10" t="n"/>
      <c r="I35" s="461" t="n"/>
      <c r="J35" s="458" t="n"/>
      <c r="K35" s="459" t="n"/>
      <c r="L35" s="459" t="n"/>
      <c r="M35" s="447">
        <f>SUM(K35:L35)</f>
        <v/>
      </c>
      <c r="N35" s="437" t="n"/>
    </row>
    <row r="36">
      <c r="A36" s="17" t="n"/>
      <c r="B36" s="18" t="n"/>
      <c r="C36" s="10" t="n"/>
      <c r="D36" s="452" t="n"/>
      <c r="E36" s="10" t="n"/>
      <c r="F36" s="61" t="n"/>
      <c r="G36" s="61" t="n"/>
      <c r="H36" s="10" t="n"/>
      <c r="I36" s="461" t="n"/>
      <c r="J36" s="458" t="n"/>
      <c r="K36" s="459" t="n"/>
      <c r="L36" s="459" t="n"/>
      <c r="M36" s="447">
        <f>SUM(K36:L36)</f>
        <v/>
      </c>
      <c r="N36" s="437" t="n"/>
    </row>
    <row r="37">
      <c r="A37" s="17" t="n"/>
      <c r="B37" s="18" t="n"/>
      <c r="C37" s="10" t="n"/>
      <c r="D37" s="452" t="n"/>
      <c r="E37" s="10" t="n"/>
      <c r="F37" s="61" t="n"/>
      <c r="G37" s="61" t="n"/>
      <c r="H37" s="10" t="n"/>
      <c r="I37" s="461" t="n"/>
      <c r="J37" s="458" t="n"/>
      <c r="K37" s="459" t="n"/>
      <c r="L37" s="459" t="n"/>
      <c r="M37" s="447">
        <f>SUM(K37:L37)</f>
        <v/>
      </c>
      <c r="N37" s="437" t="n"/>
    </row>
    <row r="38">
      <c r="A38" s="20" t="n"/>
      <c r="B38" s="21" t="n"/>
      <c r="C38" s="22" t="n"/>
      <c r="D38" s="21" t="n"/>
      <c r="E38" s="21" t="n"/>
      <c r="F38" s="21" t="n"/>
      <c r="G38" s="21" t="n"/>
      <c r="H38" s="21" t="n"/>
      <c r="I38" s="465" t="n"/>
      <c r="J38" s="469" t="n"/>
      <c r="K38" s="470" t="n"/>
      <c r="L38" s="470" t="n"/>
      <c r="M38" s="470" t="n"/>
      <c r="N38" s="437" t="n"/>
    </row>
    <row r="39">
      <c r="A39" s="20" t="n"/>
      <c r="B39" s="21" t="n"/>
      <c r="C39" s="22" t="n"/>
      <c r="D39" s="21" t="n"/>
      <c r="E39" s="21" t="n"/>
      <c r="F39" s="21" t="n"/>
      <c r="G39" s="21" t="n"/>
      <c r="H39" s="21" t="n"/>
      <c r="I39" s="465" t="n"/>
      <c r="J39" s="469" t="n"/>
      <c r="K39" s="470" t="n"/>
      <c r="L39" s="470" t="n"/>
      <c r="M39" s="470" t="n"/>
      <c r="N39" s="437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9" t="n"/>
      <c r="K40" s="470" t="n"/>
      <c r="L40" s="470" t="n"/>
      <c r="M40" s="472">
        <f>SUM(M2:M39)</f>
        <v/>
      </c>
      <c r="N40" s="472">
        <f>SUM(N2:N39)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9" t="n"/>
      <c r="K41" s="470" t="n"/>
      <c r="L41" s="470" t="n"/>
      <c r="M41" s="473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9" t="n"/>
      <c r="K42" s="470" t="n"/>
      <c r="L42" s="47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134"/>
  <sheetViews>
    <sheetView topLeftCell="A39" zoomScale="70" zoomScaleNormal="70" workbookViewId="0">
      <selection activeCell="AG4" sqref="A1:AG4"/>
    </sheetView>
  </sheetViews>
  <sheetFormatPr baseColWidth="8" defaultColWidth="8.75" defaultRowHeight="15"/>
  <cols>
    <col width="9" customWidth="1" style="246" min="1" max="1"/>
    <col width="8.75" customWidth="1" style="112" min="2" max="2"/>
    <col width="61.375" customWidth="1" style="112" min="3" max="3"/>
    <col width="25.25" customWidth="1" style="112" min="4" max="4"/>
    <col width="9" bestFit="1" customWidth="1" style="112" min="5" max="7"/>
    <col width="11.5" bestFit="1" customWidth="1" style="112" min="8" max="8"/>
    <col width="9.5" customWidth="1" style="112" min="9" max="9"/>
    <col width="31.875" customWidth="1" style="557" min="10" max="10"/>
    <col width="9" bestFit="1" customWidth="1" style="558" min="11" max="12"/>
    <col width="15.125" customWidth="1" style="558" min="13" max="13"/>
    <col width="8.75" customWidth="1" style="112" min="14" max="16384"/>
  </cols>
  <sheetData>
    <row r="1">
      <c r="A1" s="67" t="inlineStr">
        <is>
          <t>Ord No.</t>
        </is>
      </c>
      <c r="B1" s="68" t="inlineStr">
        <is>
          <t>Time</t>
        </is>
      </c>
      <c r="C1" s="2" t="inlineStr">
        <is>
          <t>Trip</t>
        </is>
      </c>
      <c r="D1" s="536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Height="1">
      <c r="A2" s="101" t="n">
        <v>538448</v>
      </c>
      <c r="B2" s="46" t="n">
        <v>0.3854166666666667</v>
      </c>
      <c r="C2" s="93" t="inlineStr">
        <is>
          <t>3V401 &gt; Codis</t>
        </is>
      </c>
      <c r="D2" s="528" t="inlineStr">
        <is>
          <t xml:space="preserve">Stanley CT8022 9828 6100 </t>
        </is>
      </c>
      <c r="E2" s="103" t="inlineStr">
        <is>
          <t>Done</t>
        </is>
      </c>
      <c r="F2" s="40" t="n">
        <v>0.4027777777777778</v>
      </c>
      <c r="G2" s="40" t="n">
        <v>0.4236111111111111</v>
      </c>
      <c r="H2" s="39" t="n"/>
      <c r="I2" s="438" t="n"/>
      <c r="J2" s="438" t="inlineStr">
        <is>
          <t>P$35</t>
        </is>
      </c>
      <c r="K2" s="437" t="n">
        <v>35</v>
      </c>
      <c r="L2" s="559" t="n">
        <v>400</v>
      </c>
      <c r="M2" s="437">
        <f>SUM(K2:L2)</f>
        <v/>
      </c>
      <c r="N2" s="437" t="n">
        <v>30</v>
      </c>
    </row>
    <row r="3" ht="17.25" customHeight="1">
      <c r="A3" s="91" t="inlineStr">
        <is>
          <t>538445</t>
        </is>
      </c>
      <c r="B3" s="174" t="n">
        <v>0.4270833333333333</v>
      </c>
      <c r="C3" s="158" t="inlineStr">
        <is>
          <t>Cordis &gt; AP</t>
        </is>
      </c>
      <c r="D3" s="492" t="inlineStr">
        <is>
          <t>Eva WH9918 97062468</t>
        </is>
      </c>
      <c r="E3" s="93" t="inlineStr">
        <is>
          <t>Done</t>
        </is>
      </c>
      <c r="F3" s="166" t="n">
        <v>0.43125</v>
      </c>
      <c r="G3" s="166" t="n">
        <v>0.4270833333333333</v>
      </c>
      <c r="H3" s="39" t="n"/>
      <c r="I3" s="433" t="n"/>
      <c r="J3" s="438" t="n"/>
      <c r="K3" s="488" t="n"/>
      <c r="L3" s="489" t="n">
        <v>400</v>
      </c>
      <c r="M3" s="437">
        <f>SUM(K3:L3)</f>
        <v/>
      </c>
      <c r="N3" s="437" t="n">
        <v>30</v>
      </c>
    </row>
    <row r="4" ht="17.25" customFormat="1" customHeight="1" s="132">
      <c r="A4" s="91" t="n"/>
      <c r="B4" s="120" t="n"/>
      <c r="C4" s="200" t="n"/>
      <c r="D4" s="487" t="n"/>
      <c r="E4" s="103" t="n"/>
      <c r="F4" s="113" t="n"/>
      <c r="G4" s="113" t="n"/>
      <c r="H4" s="39" t="n"/>
      <c r="I4" s="438" t="n"/>
      <c r="J4" s="438" t="n"/>
      <c r="K4" s="437" t="n"/>
      <c r="L4" s="559" t="n"/>
      <c r="M4" s="437">
        <f>SUM(K4:L4)</f>
        <v/>
      </c>
      <c r="N4" s="437" t="n"/>
      <c r="O4" s="144" t="n"/>
      <c r="P4" s="144" t="n"/>
    </row>
    <row r="5" ht="17.25" customHeight="1">
      <c r="A5" s="200" t="n"/>
      <c r="B5" s="130" t="n"/>
      <c r="C5" s="200" t="n"/>
      <c r="D5" s="158" t="n"/>
      <c r="E5" s="93" t="n"/>
      <c r="F5" s="113" t="n"/>
      <c r="G5" s="113" t="n"/>
      <c r="H5" s="93" t="n"/>
      <c r="I5" s="433" t="n"/>
      <c r="J5" s="446" t="n"/>
      <c r="K5" s="437" t="n"/>
      <c r="L5" s="559" t="n"/>
      <c r="M5" s="437">
        <f>SUM(K5:L5)</f>
        <v/>
      </c>
      <c r="N5" s="437" t="n"/>
    </row>
    <row r="6" ht="17.25" customHeight="1">
      <c r="A6" s="101" t="n"/>
      <c r="B6" s="130" t="n"/>
      <c r="C6" s="93" t="n"/>
      <c r="D6" s="487" t="n"/>
      <c r="E6" s="181" t="n"/>
      <c r="F6" s="113" t="n"/>
      <c r="G6" s="113" t="n"/>
      <c r="H6" s="93" t="n"/>
      <c r="I6" s="433" t="n"/>
      <c r="J6" s="507" t="n"/>
      <c r="K6" s="488" t="n"/>
      <c r="L6" s="489" t="n"/>
      <c r="M6" s="437">
        <f>SUM(K6:L6)</f>
        <v/>
      </c>
      <c r="N6" s="437" t="n"/>
    </row>
    <row r="7" ht="17.25" customHeight="1">
      <c r="A7" s="101" t="n"/>
      <c r="B7" s="130" t="n"/>
      <c r="C7" s="93" t="n"/>
      <c r="D7" s="440" t="n"/>
      <c r="E7" s="103" t="n"/>
      <c r="F7" s="113" t="n"/>
      <c r="G7" s="113" t="n"/>
      <c r="H7" s="93" t="n"/>
      <c r="I7" s="433" t="n"/>
      <c r="J7" s="438" t="n"/>
      <c r="K7" s="437" t="n"/>
      <c r="L7" s="559" t="n"/>
      <c r="M7" s="437">
        <f>SUM(K7:L7)</f>
        <v/>
      </c>
      <c r="N7" s="437" t="n"/>
    </row>
    <row r="8" ht="17.25" customHeight="1">
      <c r="A8" s="45" t="n"/>
      <c r="B8" s="130" t="n"/>
      <c r="C8" s="158" t="n"/>
      <c r="D8" s="158" t="n"/>
      <c r="E8" s="39" t="n"/>
      <c r="F8" s="40" t="n"/>
      <c r="G8" s="40" t="n"/>
      <c r="H8" s="93" t="n"/>
      <c r="I8" s="433" t="n"/>
      <c r="J8" s="438" t="n"/>
      <c r="K8" s="437" t="n"/>
      <c r="L8" s="559" t="n"/>
      <c r="M8" s="437">
        <f>SUM(K8:L8)</f>
        <v/>
      </c>
      <c r="N8" s="437" t="n"/>
    </row>
    <row r="9" ht="17.25" customHeight="1">
      <c r="A9" s="45" t="n"/>
      <c r="B9" s="130" t="n"/>
      <c r="C9" s="158" t="n"/>
      <c r="D9" s="487" t="n"/>
      <c r="E9" s="39" t="n"/>
      <c r="F9" s="40" t="n"/>
      <c r="G9" s="40" t="n"/>
      <c r="H9" s="93" t="n"/>
      <c r="I9" s="433" t="n"/>
      <c r="J9" s="438" t="n"/>
      <c r="K9" s="560" t="n"/>
      <c r="L9" s="559" t="n"/>
      <c r="M9" s="437">
        <f>SUM(K9:L9)</f>
        <v/>
      </c>
      <c r="N9" s="437" t="n"/>
    </row>
    <row r="10" ht="17.25" customHeight="1">
      <c r="A10" s="316" t="n"/>
      <c r="B10" s="198" t="n"/>
      <c r="C10" s="158" t="n"/>
      <c r="D10" s="487" t="n"/>
      <c r="E10" s="491" t="n"/>
      <c r="F10" s="40" t="n"/>
      <c r="G10" s="40" t="n"/>
      <c r="H10" s="491" t="n"/>
      <c r="I10" s="450" t="n"/>
      <c r="J10" s="561" t="n"/>
      <c r="K10" s="560" t="n"/>
      <c r="L10" s="559" t="n"/>
      <c r="M10" s="437">
        <f>SUM(K10:L10)</f>
        <v/>
      </c>
      <c r="N10" s="437" t="n"/>
    </row>
    <row r="11" ht="17.25" customHeight="1">
      <c r="A11" s="159" t="n"/>
      <c r="B11" s="164" t="n"/>
      <c r="C11" s="165" t="n"/>
      <c r="D11" s="440" t="n"/>
      <c r="E11" s="39" t="n"/>
      <c r="F11" s="40" t="n"/>
      <c r="G11" s="40" t="n"/>
      <c r="H11" s="39" t="n"/>
      <c r="I11" s="438" t="n"/>
      <c r="J11" s="438" t="n"/>
      <c r="K11" s="437" t="n"/>
      <c r="L11" s="559" t="n"/>
      <c r="M11" s="437">
        <f>SUM(K11:L11)</f>
        <v/>
      </c>
      <c r="N11" s="437" t="n"/>
    </row>
    <row r="12" ht="17.25" customHeight="1">
      <c r="A12" s="122" t="n"/>
      <c r="B12" s="48" t="n"/>
      <c r="C12" s="93" t="n"/>
      <c r="D12" s="93" t="n"/>
      <c r="E12" s="39" t="n"/>
      <c r="F12" s="40" t="n"/>
      <c r="G12" s="40" t="n"/>
      <c r="H12" s="39" t="n"/>
      <c r="I12" s="438" t="n"/>
      <c r="J12" s="438" t="n"/>
      <c r="K12" s="437" t="n"/>
      <c r="L12" s="559" t="n"/>
      <c r="M12" s="437">
        <f>SUM(K12:L12)</f>
        <v/>
      </c>
      <c r="N12" s="437" t="n"/>
    </row>
    <row r="13" ht="17.25" customHeight="1">
      <c r="A13" s="122" t="n"/>
      <c r="B13" s="46" t="n"/>
      <c r="C13" s="93" t="n"/>
      <c r="D13" s="440" t="n"/>
      <c r="E13" s="39" t="n"/>
      <c r="F13" s="40" t="n"/>
      <c r="G13" s="40" t="n"/>
      <c r="H13" s="449" t="n"/>
      <c r="I13" s="438" t="n"/>
      <c r="J13" s="438" t="n"/>
      <c r="K13" s="437" t="n"/>
      <c r="L13" s="559" t="n"/>
      <c r="M13" s="437">
        <f>SUM(K13:L13)</f>
        <v/>
      </c>
      <c r="N13" s="437" t="n"/>
    </row>
    <row r="14" ht="17.25" customHeight="1">
      <c r="A14" s="122" t="n"/>
      <c r="B14" s="48" t="n"/>
      <c r="C14" s="93" t="n"/>
      <c r="D14" s="440" t="n"/>
      <c r="E14" s="39" t="n"/>
      <c r="F14" s="40" t="n"/>
      <c r="G14" s="40" t="n"/>
      <c r="H14" s="449" t="n"/>
      <c r="I14" s="438" t="n"/>
      <c r="J14" s="441" t="n"/>
      <c r="K14" s="437" t="n"/>
      <c r="L14" s="559" t="n"/>
      <c r="M14" s="437">
        <f>SUM(K14:L14)</f>
        <v/>
      </c>
      <c r="N14" s="437" t="n"/>
    </row>
    <row r="15" ht="17.25" customHeight="1">
      <c r="A15" s="47" t="n"/>
      <c r="B15" s="48" t="n"/>
      <c r="C15" s="39" t="n"/>
      <c r="D15" s="440" t="n"/>
      <c r="E15" s="39" t="n"/>
      <c r="F15" s="40" t="n"/>
      <c r="G15" s="40" t="n"/>
      <c r="H15" s="39" t="n"/>
      <c r="I15" s="438" t="n"/>
      <c r="J15" s="513" t="n"/>
      <c r="K15" s="437" t="n"/>
      <c r="L15" s="436" t="n"/>
      <c r="M15" s="437">
        <f>SUM(K15:L15)</f>
        <v/>
      </c>
      <c r="N15" s="437" t="n"/>
    </row>
    <row r="16">
      <c r="A16" s="45" t="n"/>
      <c r="B16" s="48" t="n"/>
      <c r="C16" s="39" t="n"/>
      <c r="D16" s="440" t="n"/>
      <c r="E16" s="39" t="n"/>
      <c r="F16" s="40" t="n"/>
      <c r="G16" s="40" t="n"/>
      <c r="H16" s="39" t="n"/>
      <c r="I16" s="438" t="n"/>
      <c r="J16" s="441" t="n"/>
      <c r="K16" s="437" t="n"/>
      <c r="L16" s="436" t="n"/>
      <c r="M16" s="437">
        <f>SUM(K16:L16)</f>
        <v/>
      </c>
      <c r="N16" s="437" t="n"/>
    </row>
    <row r="17">
      <c r="A17" s="91" t="n"/>
      <c r="B17" s="48" t="n"/>
      <c r="C17" s="39" t="n"/>
      <c r="D17" s="440" t="n"/>
      <c r="E17" s="39" t="n"/>
      <c r="F17" s="40" t="n"/>
      <c r="G17" s="40" t="n"/>
      <c r="H17" s="39" t="n"/>
      <c r="I17" s="438" t="n"/>
      <c r="J17" s="441" t="n"/>
      <c r="K17" s="437" t="n"/>
      <c r="L17" s="436" t="n"/>
      <c r="M17" s="437">
        <f>SUM(K17:L17)</f>
        <v/>
      </c>
      <c r="N17" s="437" t="n"/>
    </row>
    <row r="18">
      <c r="A18" s="45" t="n"/>
      <c r="B18" s="48" t="n"/>
      <c r="C18" s="39" t="n"/>
      <c r="D18" s="440" t="n"/>
      <c r="E18" s="39" t="n"/>
      <c r="F18" s="40" t="n"/>
      <c r="G18" s="40" t="n"/>
      <c r="H18" s="449" t="n"/>
      <c r="I18" s="438" t="n"/>
      <c r="J18" s="441" t="n"/>
      <c r="K18" s="437" t="n"/>
      <c r="L18" s="436" t="n"/>
      <c r="M18" s="437">
        <f>SUM(K18:L18)</f>
        <v/>
      </c>
      <c r="N18" s="437" t="n"/>
    </row>
    <row r="19">
      <c r="A19" s="47" t="n"/>
      <c r="B19" s="48" t="n"/>
      <c r="C19" s="39" t="n"/>
      <c r="D19" s="440" t="n"/>
      <c r="E19" s="39" t="n"/>
      <c r="F19" s="40" t="n"/>
      <c r="G19" s="40" t="n"/>
      <c r="H19" s="39" t="n"/>
      <c r="I19" s="438" t="n"/>
      <c r="J19" s="441" t="n"/>
      <c r="K19" s="437" t="n"/>
      <c r="L19" s="436" t="n"/>
      <c r="M19" s="437">
        <f>SUM(K19:L19)</f>
        <v/>
      </c>
      <c r="N19" s="437" t="n"/>
    </row>
    <row r="20">
      <c r="A20" s="45" t="n"/>
      <c r="B20" s="48" t="n"/>
      <c r="C20" s="39" t="n"/>
      <c r="D20" s="440" t="n"/>
      <c r="E20" s="39" t="n"/>
      <c r="F20" s="40" t="n"/>
      <c r="G20" s="40" t="n"/>
      <c r="H20" s="39" t="n"/>
      <c r="I20" s="438" t="n"/>
      <c r="J20" s="441" t="n"/>
      <c r="K20" s="437" t="n"/>
      <c r="L20" s="436" t="n"/>
      <c r="M20" s="437">
        <f>SUM(K20:L20)</f>
        <v/>
      </c>
      <c r="N20" s="437" t="n"/>
    </row>
    <row r="21">
      <c r="A21" s="45" t="n"/>
      <c r="B21" s="46" t="n"/>
      <c r="C21" s="39" t="n"/>
      <c r="D21" s="454" t="n"/>
      <c r="E21" s="39" t="n"/>
      <c r="F21" s="40" t="n"/>
      <c r="G21" s="40" t="n"/>
      <c r="H21" s="39" t="n"/>
      <c r="I21" s="438" t="n"/>
      <c r="J21" s="441" t="n"/>
      <c r="K21" s="437" t="n"/>
      <c r="L21" s="436" t="n"/>
      <c r="M21" s="437">
        <f>SUM(K21:L21)</f>
        <v/>
      </c>
      <c r="N21" s="437" t="n"/>
    </row>
    <row r="22">
      <c r="A22" s="47" t="n"/>
      <c r="B22" s="48" t="n"/>
      <c r="C22" s="39" t="n"/>
      <c r="D22" s="454" t="n"/>
      <c r="E22" s="39" t="n"/>
      <c r="F22" s="40" t="n"/>
      <c r="G22" s="40" t="n"/>
      <c r="H22" s="39" t="n"/>
      <c r="I22" s="438" t="n"/>
      <c r="J22" s="441" t="n"/>
      <c r="K22" s="437" t="n"/>
      <c r="L22" s="436" t="n"/>
      <c r="M22" s="437">
        <f>SUM(K22:L22)</f>
        <v/>
      </c>
      <c r="N22" s="437" t="n"/>
    </row>
    <row r="23">
      <c r="A23" s="45" t="n"/>
      <c r="B23" s="46" t="n"/>
      <c r="C23" s="39" t="n"/>
      <c r="D23" s="440" t="n"/>
      <c r="E23" s="39" t="n"/>
      <c r="F23" s="40" t="n"/>
      <c r="G23" s="40" t="n"/>
      <c r="H23" s="39" t="n"/>
      <c r="I23" s="438" t="n"/>
      <c r="J23" s="441" t="n"/>
      <c r="K23" s="437" t="n"/>
      <c r="L23" s="437" t="n"/>
      <c r="M23" s="437">
        <f>SUM(K23:L23)</f>
        <v/>
      </c>
      <c r="N23" s="437" t="n"/>
    </row>
    <row r="24">
      <c r="A24" s="91" t="n"/>
      <c r="B24" s="92" t="n"/>
      <c r="C24" s="39" t="n"/>
      <c r="D24" s="491" t="n"/>
      <c r="E24" s="39" t="n"/>
      <c r="F24" s="40" t="n"/>
      <c r="G24" s="40" t="n"/>
      <c r="H24" s="39" t="n"/>
      <c r="I24" s="438" t="n"/>
      <c r="J24" s="441" t="n"/>
      <c r="K24" s="437" t="n"/>
      <c r="L24" s="437" t="n"/>
      <c r="M24" s="437">
        <f>SUM(K24:L24)</f>
        <v/>
      </c>
      <c r="N24" s="437" t="n"/>
    </row>
    <row r="25">
      <c r="A25" s="45" t="n"/>
      <c r="B25" s="46" t="n"/>
      <c r="C25" s="39" t="n"/>
      <c r="D25" s="491" t="n"/>
      <c r="E25" s="39" t="n"/>
      <c r="F25" s="40" t="n"/>
      <c r="G25" s="40" t="n"/>
      <c r="H25" s="39" t="n"/>
      <c r="I25" s="438" t="n"/>
      <c r="J25" s="441" t="n"/>
      <c r="K25" s="437" t="n"/>
      <c r="L25" s="437" t="n"/>
      <c r="M25" s="437">
        <f>SUM(K25:L25)</f>
        <v/>
      </c>
      <c r="N25" s="437" t="n"/>
    </row>
    <row r="26">
      <c r="A26" s="45" t="n"/>
      <c r="B26" s="46" t="n"/>
      <c r="C26" s="39" t="n"/>
      <c r="D26" s="491" t="n"/>
      <c r="E26" s="39" t="n"/>
      <c r="F26" s="40" t="n"/>
      <c r="G26" s="40" t="n"/>
      <c r="H26" s="39" t="n"/>
      <c r="I26" s="438" t="n"/>
      <c r="J26" s="441" t="n"/>
      <c r="K26" s="437" t="n"/>
      <c r="L26" s="437" t="n"/>
      <c r="M26" s="437">
        <f>SUM(K26:L26)</f>
        <v/>
      </c>
      <c r="N26" s="437" t="n"/>
    </row>
    <row r="27">
      <c r="A27" s="45" t="n"/>
      <c r="B27" s="46" t="n"/>
      <c r="C27" s="39" t="n"/>
      <c r="D27" s="491" t="n"/>
      <c r="E27" s="39" t="n"/>
      <c r="F27" s="40" t="n"/>
      <c r="G27" s="40" t="n"/>
      <c r="H27" s="39" t="n"/>
      <c r="I27" s="438" t="n"/>
      <c r="J27" s="441" t="n"/>
      <c r="K27" s="437" t="n"/>
      <c r="L27" s="437" t="n"/>
      <c r="M27" s="437">
        <f>SUM(K27:L27)</f>
        <v/>
      </c>
      <c r="N27" s="437" t="n"/>
    </row>
    <row r="28">
      <c r="A28" s="45" t="n"/>
      <c r="B28" s="46" t="n"/>
      <c r="C28" s="39" t="n"/>
      <c r="D28" s="491" t="n"/>
      <c r="E28" s="39" t="n"/>
      <c r="F28" s="40" t="n"/>
      <c r="G28" s="40" t="n"/>
      <c r="H28" s="39" t="n"/>
      <c r="I28" s="438" t="n"/>
      <c r="J28" s="441" t="n"/>
      <c r="K28" s="437" t="n"/>
      <c r="L28" s="437" t="n"/>
      <c r="M28" s="437">
        <f>SUM(K28:L28)</f>
        <v/>
      </c>
      <c r="N28" s="437" t="n"/>
    </row>
    <row r="29">
      <c r="A29" s="45" t="n"/>
      <c r="B29" s="46" t="n"/>
      <c r="C29" s="39" t="n"/>
      <c r="D29" s="562" t="n"/>
      <c r="E29" s="39" t="n"/>
      <c r="F29" s="40" t="n"/>
      <c r="G29" s="40" t="n"/>
      <c r="H29" s="39" t="n"/>
      <c r="I29" s="438" t="n"/>
      <c r="J29" s="441" t="n"/>
      <c r="K29" s="437" t="n"/>
      <c r="L29" s="437" t="n"/>
      <c r="M29" s="437">
        <f>SUM(K29:L29)</f>
        <v/>
      </c>
      <c r="N29" s="437" t="n"/>
    </row>
    <row r="30">
      <c r="A30" s="45" t="n"/>
      <c r="B30" s="46" t="n"/>
      <c r="C30" s="39" t="n"/>
      <c r="D30" s="39" t="n"/>
      <c r="E30" s="39" t="n"/>
      <c r="F30" s="40" t="n"/>
      <c r="G30" s="40" t="n"/>
      <c r="H30" s="39" t="n"/>
      <c r="I30" s="438" t="n"/>
      <c r="J30" s="441" t="n"/>
      <c r="K30" s="437" t="n"/>
      <c r="L30" s="437" t="n"/>
      <c r="M30" s="437">
        <f>SUM(K30:L30)</f>
        <v/>
      </c>
      <c r="N30" s="437" t="n"/>
    </row>
    <row r="31">
      <c r="A31" s="45" t="n"/>
      <c r="B31" s="46" t="n"/>
      <c r="C31" s="39" t="n"/>
      <c r="D31" s="39" t="n"/>
      <c r="E31" s="39" t="n"/>
      <c r="F31" s="40" t="n"/>
      <c r="G31" s="40" t="n"/>
      <c r="H31" s="39" t="n"/>
      <c r="I31" s="438" t="n"/>
      <c r="J31" s="441" t="n"/>
      <c r="K31" s="437" t="n"/>
      <c r="L31" s="437" t="n"/>
      <c r="M31" s="437">
        <f>SUM(K31:L31)</f>
        <v/>
      </c>
      <c r="N31" s="437" t="n"/>
    </row>
    <row r="32">
      <c r="A32" s="45" t="n"/>
      <c r="B32" s="46" t="n"/>
      <c r="C32" s="39" t="n"/>
      <c r="D32" s="491" t="n"/>
      <c r="E32" s="39" t="n"/>
      <c r="F32" s="40" t="n"/>
      <c r="G32" s="40" t="n"/>
      <c r="H32" s="39" t="n"/>
      <c r="I32" s="438" t="n"/>
      <c r="J32" s="441" t="n"/>
      <c r="K32" s="437" t="n"/>
      <c r="L32" s="437" t="n"/>
      <c r="M32" s="437">
        <f>SUM(K32:L32)</f>
        <v/>
      </c>
      <c r="N32" s="437" t="n"/>
    </row>
    <row r="33">
      <c r="A33" s="45" t="n"/>
      <c r="B33" s="46" t="n"/>
      <c r="C33" s="39" t="n"/>
      <c r="D33" s="501" t="n"/>
      <c r="E33" s="39" t="n"/>
      <c r="F33" s="40" t="n"/>
      <c r="G33" s="40" t="n"/>
      <c r="H33" s="39" t="n"/>
      <c r="I33" s="438" t="n"/>
      <c r="J33" s="441" t="n"/>
      <c r="K33" s="437" t="n"/>
      <c r="L33" s="437" t="n"/>
      <c r="M33" s="437">
        <f>SUM(K33:L33)</f>
        <v/>
      </c>
      <c r="N33" s="437" t="n"/>
    </row>
    <row r="34">
      <c r="A34" s="45" t="n"/>
      <c r="B34" s="46" t="n"/>
      <c r="C34" s="39" t="n"/>
      <c r="D34" s="491" t="n"/>
      <c r="E34" s="39" t="n"/>
      <c r="F34" s="40" t="n"/>
      <c r="G34" s="40" t="n"/>
      <c r="H34" s="39" t="n"/>
      <c r="I34" s="438" t="n"/>
      <c r="J34" s="441" t="n"/>
      <c r="K34" s="437" t="n"/>
      <c r="L34" s="437" t="n"/>
      <c r="M34" s="437">
        <f>SUM(K34:L34)</f>
        <v/>
      </c>
      <c r="N34" s="437" t="n"/>
    </row>
    <row r="35">
      <c r="A35" s="45" t="n"/>
      <c r="B35" s="46" t="n"/>
      <c r="C35" s="39" t="n"/>
      <c r="D35" s="235" t="n"/>
      <c r="E35" s="39" t="n"/>
      <c r="F35" s="40" t="n"/>
      <c r="G35" s="40" t="n"/>
      <c r="H35" s="39" t="n"/>
      <c r="I35" s="438" t="n"/>
      <c r="J35" s="441" t="n"/>
      <c r="K35" s="437" t="n"/>
      <c r="L35" s="437" t="n"/>
      <c r="M35" s="437">
        <f>SUM(K35:L35)</f>
        <v/>
      </c>
      <c r="N35" s="437" t="n"/>
    </row>
    <row r="36">
      <c r="A36" s="45" t="n"/>
      <c r="B36" s="46" t="n"/>
      <c r="C36" s="39" t="n"/>
      <c r="D36" s="491" t="n"/>
      <c r="E36" s="39" t="n"/>
      <c r="F36" s="40" t="n"/>
      <c r="G36" s="40" t="n"/>
      <c r="H36" s="39" t="n"/>
      <c r="I36" s="438" t="n"/>
      <c r="J36" s="441" t="n"/>
      <c r="K36" s="437" t="n"/>
      <c r="L36" s="437" t="n"/>
      <c r="M36" s="437">
        <f>SUM(K36:L36)</f>
        <v/>
      </c>
      <c r="N36" s="437" t="n"/>
    </row>
    <row r="37">
      <c r="A37" s="45" t="n"/>
      <c r="B37" s="46" t="n"/>
      <c r="C37" s="39" t="n"/>
      <c r="D37" s="491" t="n"/>
      <c r="E37" s="39" t="n"/>
      <c r="F37" s="40" t="n"/>
      <c r="G37" s="40" t="n"/>
      <c r="H37" s="39" t="n"/>
      <c r="I37" s="438" t="n"/>
      <c r="J37" s="441" t="n"/>
      <c r="K37" s="437" t="n"/>
      <c r="L37" s="437" t="n"/>
      <c r="M37" s="437">
        <f>SUM(K37:L37)</f>
        <v/>
      </c>
      <c r="N37" s="437" t="n"/>
    </row>
    <row r="38">
      <c r="A38" s="45" t="n"/>
      <c r="B38" s="46" t="n"/>
      <c r="C38" s="39" t="n"/>
      <c r="D38" s="562" t="n"/>
      <c r="E38" s="126" t="n"/>
      <c r="F38" s="40" t="n"/>
      <c r="G38" s="40" t="n"/>
      <c r="H38" s="126" t="n"/>
      <c r="I38" s="513" t="n"/>
      <c r="J38" s="563" t="n"/>
      <c r="K38" s="445" t="n"/>
      <c r="L38" s="445" t="n"/>
      <c r="M38" s="437">
        <f>SUM(K38:L38)</f>
        <v/>
      </c>
      <c r="N38" s="437" t="n"/>
    </row>
    <row r="39">
      <c r="A39" s="236" t="n"/>
      <c r="B39" s="127" t="n"/>
      <c r="C39" s="126" t="n"/>
      <c r="D39" s="564" t="n"/>
      <c r="E39" s="126" t="n"/>
      <c r="F39" s="40" t="n"/>
      <c r="G39" s="40" t="n"/>
      <c r="H39" s="126" t="n"/>
      <c r="I39" s="513" t="n"/>
      <c r="J39" s="563" t="n"/>
      <c r="K39" s="445" t="n"/>
      <c r="L39" s="445" t="n"/>
      <c r="M39" s="437">
        <f>SUM(K39:L39)</f>
        <v/>
      </c>
      <c r="N39" s="437" t="n"/>
    </row>
    <row r="40">
      <c r="A40" s="238" t="n"/>
      <c r="B40" s="239" t="n"/>
      <c r="C40" s="240" t="n"/>
      <c r="D40" s="239" t="n"/>
      <c r="E40" s="239" t="n"/>
      <c r="F40" s="239" t="n"/>
      <c r="G40" s="239" t="n"/>
      <c r="H40" s="239" t="n"/>
      <c r="J40" s="565" t="n"/>
      <c r="K40" s="566" t="n"/>
      <c r="L40" s="566" t="n"/>
      <c r="M40" s="567">
        <f>SUM(M2:M39)</f>
        <v/>
      </c>
      <c r="N40" s="567">
        <f>SUM(N2:N39)</f>
        <v/>
      </c>
    </row>
    <row r="41">
      <c r="A41" s="238" t="n"/>
      <c r="B41" s="239" t="n"/>
      <c r="C41" s="240" t="n"/>
      <c r="D41" s="239" t="n"/>
      <c r="E41" s="239" t="n"/>
      <c r="F41" s="239" t="n"/>
      <c r="G41" s="239" t="n"/>
      <c r="H41" s="239" t="n"/>
      <c r="J41" s="565" t="n"/>
      <c r="K41" s="566" t="n"/>
      <c r="L41" s="566" t="n"/>
      <c r="M41" s="568" t="n"/>
    </row>
    <row r="42">
      <c r="A42" s="238" t="n"/>
      <c r="B42" s="239" t="n"/>
      <c r="C42" s="240" t="n"/>
      <c r="D42" s="239" t="n"/>
      <c r="E42" s="239" t="n"/>
      <c r="F42" s="239" t="n"/>
      <c r="G42" s="239" t="n"/>
      <c r="H42" s="239" t="n"/>
      <c r="J42" s="565" t="n"/>
      <c r="K42" s="566" t="n"/>
      <c r="L42" s="566" t="n"/>
    </row>
    <row r="43">
      <c r="C43" s="247" t="n"/>
    </row>
    <row r="44">
      <c r="C44" s="247" t="n"/>
    </row>
    <row r="45">
      <c r="C45" s="247" t="n"/>
    </row>
    <row r="46">
      <c r="C46" s="247" t="n"/>
    </row>
    <row r="47">
      <c r="C47" s="247" t="n"/>
    </row>
    <row r="48">
      <c r="C48" s="247" t="n"/>
    </row>
    <row r="49">
      <c r="C49" s="247" t="n"/>
    </row>
    <row r="50">
      <c r="C50" s="247" t="n"/>
    </row>
    <row r="51">
      <c r="C51" s="247" t="n"/>
    </row>
    <row r="52">
      <c r="C52" s="247" t="n"/>
    </row>
    <row r="53">
      <c r="C53" s="247" t="n"/>
    </row>
    <row r="54">
      <c r="C54" s="247" t="n"/>
    </row>
    <row r="55">
      <c r="C55" s="247" t="n"/>
    </row>
    <row r="56">
      <c r="C56" s="247" t="n"/>
    </row>
    <row r="57">
      <c r="C57" s="247" t="n"/>
    </row>
    <row r="58">
      <c r="C58" s="247" t="n"/>
    </row>
    <row r="59">
      <c r="C59" s="247" t="n"/>
    </row>
    <row r="60">
      <c r="C60" s="247" t="n"/>
    </row>
    <row r="61">
      <c r="C61" s="247" t="n"/>
    </row>
    <row r="62">
      <c r="C62" s="247" t="n"/>
    </row>
    <row r="63">
      <c r="C63" s="247" t="n"/>
    </row>
    <row r="64">
      <c r="C64" s="247" t="n"/>
    </row>
    <row r="65">
      <c r="C65" s="247" t="n"/>
    </row>
    <row r="66">
      <c r="C66" s="247" t="n"/>
    </row>
    <row r="67">
      <c r="C67" s="247" t="n"/>
    </row>
    <row r="68">
      <c r="C68" s="247" t="n"/>
    </row>
    <row r="69">
      <c r="C69" s="247" t="n"/>
    </row>
    <row r="70">
      <c r="C70" s="247" t="n"/>
    </row>
    <row r="71">
      <c r="C71" s="247" t="n"/>
    </row>
    <row r="72">
      <c r="C72" s="247" t="n"/>
    </row>
    <row r="73">
      <c r="C73" s="247" t="n"/>
    </row>
    <row r="74">
      <c r="C74" s="247" t="n"/>
    </row>
    <row r="75">
      <c r="C75" s="247" t="n"/>
    </row>
    <row r="76">
      <c r="C76" s="247" t="n"/>
    </row>
    <row r="77">
      <c r="C77" s="247" t="n"/>
    </row>
    <row r="78">
      <c r="C78" s="247" t="n"/>
    </row>
    <row r="79">
      <c r="C79" s="247" t="n"/>
    </row>
    <row r="80">
      <c r="C80" s="247" t="n"/>
    </row>
    <row r="81">
      <c r="C81" s="247" t="n"/>
    </row>
    <row r="82">
      <c r="C82" s="247" t="n"/>
    </row>
    <row r="83">
      <c r="C83" s="247" t="n"/>
    </row>
    <row r="84">
      <c r="C84" s="247" t="n"/>
    </row>
    <row r="85">
      <c r="C85" s="247" t="n"/>
    </row>
    <row r="86">
      <c r="C86" s="247" t="n"/>
    </row>
    <row r="87">
      <c r="C87" s="247" t="n"/>
    </row>
    <row r="88">
      <c r="C88" s="247" t="n"/>
    </row>
    <row r="89">
      <c r="C89" s="247" t="n"/>
    </row>
    <row r="90">
      <c r="C90" s="247" t="n"/>
    </row>
    <row r="91">
      <c r="C91" s="247" t="n"/>
    </row>
    <row r="92">
      <c r="C92" s="247" t="n"/>
    </row>
    <row r="93">
      <c r="C93" s="247" t="n"/>
    </row>
    <row r="94">
      <c r="C94" s="247" t="n"/>
    </row>
    <row r="95">
      <c r="C95" s="247" t="n"/>
    </row>
    <row r="96">
      <c r="C96" s="247" t="n"/>
    </row>
    <row r="97">
      <c r="C97" s="247" t="n"/>
    </row>
    <row r="98">
      <c r="C98" s="247" t="n"/>
    </row>
    <row r="99">
      <c r="C99" s="247" t="n"/>
    </row>
    <row r="100">
      <c r="C100" s="247" t="n"/>
    </row>
    <row r="101">
      <c r="C101" s="247" t="n"/>
    </row>
    <row r="102">
      <c r="C102" s="247" t="n"/>
    </row>
    <row r="103">
      <c r="C103" s="247" t="n"/>
    </row>
    <row r="104">
      <c r="C104" s="247" t="n"/>
    </row>
    <row r="105">
      <c r="C105" s="247" t="n"/>
    </row>
    <row r="106">
      <c r="C106" s="247" t="n"/>
    </row>
    <row r="107">
      <c r="C107" s="247" t="n"/>
    </row>
    <row r="108">
      <c r="C108" s="247" t="n"/>
    </row>
    <row r="109">
      <c r="C109" s="247" t="n"/>
    </row>
    <row r="110">
      <c r="C110" s="247" t="n"/>
    </row>
    <row r="111">
      <c r="C111" s="247" t="n"/>
    </row>
    <row r="112">
      <c r="C112" s="247" t="n"/>
    </row>
    <row r="113">
      <c r="C113" s="247" t="n"/>
    </row>
    <row r="114">
      <c r="C114" s="247" t="n"/>
    </row>
    <row r="115">
      <c r="C115" s="247" t="n"/>
    </row>
    <row r="116">
      <c r="C116" s="247" t="n"/>
    </row>
    <row r="117">
      <c r="C117" s="247" t="n"/>
    </row>
    <row r="118">
      <c r="C118" s="247" t="n"/>
    </row>
    <row r="119">
      <c r="C119" s="247" t="n"/>
    </row>
    <row r="120">
      <c r="C120" s="247" t="n"/>
    </row>
    <row r="121">
      <c r="C121" s="247" t="n"/>
    </row>
    <row r="122">
      <c r="C122" s="247" t="n"/>
    </row>
    <row r="123">
      <c r="C123" s="247" t="n"/>
    </row>
    <row r="124">
      <c r="C124" s="247" t="n"/>
    </row>
    <row r="125">
      <c r="C125" s="247" t="n"/>
    </row>
    <row r="126">
      <c r="C126" s="247" t="n"/>
    </row>
    <row r="127">
      <c r="C127" s="247" t="n"/>
    </row>
    <row r="128">
      <c r="C128" s="247" t="n"/>
    </row>
    <row r="129">
      <c r="C129" s="247" t="n"/>
    </row>
    <row r="130">
      <c r="C130" s="247" t="n"/>
    </row>
    <row r="131">
      <c r="C131" s="247" t="n"/>
    </row>
    <row r="132">
      <c r="C132" s="247" t="n"/>
    </row>
    <row r="133">
      <c r="C133" s="247" t="n"/>
    </row>
    <row r="134">
      <c r="C134" s="247" t="n"/>
    </row>
  </sheetData>
  <pageMargins left="0.7" right="0.7" top="0.75" bottom="0.75" header="0.3" footer="0.3"/>
  <pageSetup orientation="portrait" paperSize="9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134"/>
  <sheetViews>
    <sheetView topLeftCell="J39" zoomScale="80" zoomScaleNormal="80" workbookViewId="0">
      <selection activeCell="D10" sqref="D10"/>
    </sheetView>
  </sheetViews>
  <sheetFormatPr baseColWidth="8" defaultColWidth="8.75" defaultRowHeight="15"/>
  <cols>
    <col width="9" customWidth="1" style="29" min="1" max="1"/>
    <col width="56" customWidth="1" min="3" max="3"/>
    <col width="25.25" customWidth="1" min="4" max="4"/>
    <col width="9" bestFit="1" customWidth="1" min="5" max="7"/>
    <col width="11.5" bestFit="1" customWidth="1" min="8" max="8"/>
    <col width="9.5" customWidth="1" min="9" max="9"/>
    <col width="31.875" customWidth="1" style="423" min="10" max="10"/>
    <col width="9" bestFit="1" customWidth="1" style="424" min="11" max="12"/>
    <col width="15.125" customWidth="1" style="424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5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Format="1" customHeight="1" s="112">
      <c r="A2" s="91" t="inlineStr">
        <is>
          <t>539247</t>
        </is>
      </c>
      <c r="B2" s="46" t="n">
        <v>0.1006944444444444</v>
      </c>
      <c r="C2" s="93" t="inlineStr">
        <is>
          <t>TST &gt; AP</t>
        </is>
      </c>
      <c r="D2" s="491" t="inlineStr">
        <is>
          <t>Keith CK9898 98880261</t>
        </is>
      </c>
      <c r="E2" s="39" t="inlineStr">
        <is>
          <t>Done</t>
        </is>
      </c>
      <c r="F2" s="40" t="n">
        <v>0.1006944444444444</v>
      </c>
      <c r="G2" s="40" t="n">
        <v>0.1215277777777778</v>
      </c>
      <c r="H2" s="39" t="n"/>
      <c r="I2" s="438" t="n"/>
      <c r="J2" s="446" t="inlineStr">
        <is>
          <t>OT $60</t>
        </is>
      </c>
      <c r="K2" s="488" t="n">
        <v>60</v>
      </c>
      <c r="L2" s="489" t="n">
        <v>400</v>
      </c>
      <c r="M2" s="437">
        <f>SUM(K2:L2)</f>
        <v/>
      </c>
      <c r="N2" s="437" t="n">
        <v>30</v>
      </c>
    </row>
    <row r="3" ht="17.25" customFormat="1" customHeight="1" s="112">
      <c r="A3" s="91" t="inlineStr">
        <is>
          <t>539248</t>
        </is>
      </c>
      <c r="B3" s="46" t="n">
        <v>0.1145833333333333</v>
      </c>
      <c r="C3" s="93" t="inlineStr">
        <is>
          <t>MB490 &gt; TST</t>
        </is>
      </c>
      <c r="D3" s="491" t="inlineStr">
        <is>
          <t>Keith CK9898 98880261</t>
        </is>
      </c>
      <c r="E3" s="39" t="inlineStr">
        <is>
          <t>Done</t>
        </is>
      </c>
      <c r="F3" s="40" t="n">
        <v>0.1576388888888889</v>
      </c>
      <c r="G3" s="40" t="n">
        <v>0.1770833333333333</v>
      </c>
      <c r="H3" s="39" t="n"/>
      <c r="I3" s="438" t="n"/>
      <c r="J3" s="446" t="inlineStr">
        <is>
          <t>OT $60,P$35</t>
        </is>
      </c>
      <c r="K3" s="488" t="n">
        <v>95</v>
      </c>
      <c r="L3" s="489" t="n">
        <v>400</v>
      </c>
      <c r="M3" s="437">
        <f>SUM(K3:L3)</f>
        <v/>
      </c>
      <c r="N3" s="437" t="n">
        <v>30</v>
      </c>
    </row>
    <row r="4" ht="17.25" customFormat="1" customHeight="1" s="112">
      <c r="A4" s="91" t="inlineStr">
        <is>
          <t>539248</t>
        </is>
      </c>
      <c r="B4" s="46" t="n">
        <v>0.1145833333333333</v>
      </c>
      <c r="C4" s="93" t="inlineStr">
        <is>
          <t>MB490 &gt; TST</t>
        </is>
      </c>
      <c r="D4" s="491" t="inlineStr">
        <is>
          <t>Ivan LB990 92612485</t>
        </is>
      </c>
      <c r="E4" s="39" t="inlineStr">
        <is>
          <t>Done</t>
        </is>
      </c>
      <c r="F4" s="40" t="n">
        <v>0.1576388888888889</v>
      </c>
      <c r="G4" s="40" t="n">
        <v>0.1770833333333333</v>
      </c>
      <c r="H4" s="39" t="n"/>
      <c r="I4" s="438" t="n"/>
      <c r="J4" s="446" t="inlineStr">
        <is>
          <t>OT $60,P$35</t>
        </is>
      </c>
      <c r="K4" s="488" t="n">
        <v>95</v>
      </c>
      <c r="L4" s="489" t="n">
        <v>400</v>
      </c>
      <c r="M4" s="437">
        <f>SUM(K4:L4)</f>
        <v/>
      </c>
      <c r="N4" s="437" t="n">
        <v>30</v>
      </c>
    </row>
    <row r="5" ht="17.25" customFormat="1" customHeight="1" s="112">
      <c r="A5" s="159" t="inlineStr">
        <is>
          <t>539249</t>
        </is>
      </c>
      <c r="B5" s="164" t="n">
        <v>0.1597222222222222</v>
      </c>
      <c r="C5" s="167" t="inlineStr">
        <is>
          <t>TST &gt; AP</t>
        </is>
      </c>
      <c r="D5" s="487" t="inlineStr">
        <is>
          <t>Frankie FN655 6676 8669</t>
        </is>
      </c>
      <c r="E5" s="39" t="inlineStr">
        <is>
          <t>Done</t>
        </is>
      </c>
      <c r="F5" s="40" t="n">
        <v>0.1597222222222222</v>
      </c>
      <c r="G5" s="40" t="n">
        <v>0.1805555555555556</v>
      </c>
      <c r="H5" s="39" t="n"/>
      <c r="I5" s="438" t="n"/>
      <c r="J5" s="446" t="inlineStr">
        <is>
          <t>OT $60</t>
        </is>
      </c>
      <c r="K5" s="437" t="n">
        <v>60</v>
      </c>
      <c r="L5" s="436" t="n">
        <v>400</v>
      </c>
      <c r="M5" s="437">
        <f>SUM(K5:L5)</f>
        <v/>
      </c>
      <c r="N5" s="437" t="n">
        <v>30</v>
      </c>
    </row>
    <row r="6" ht="17.25" customFormat="1" customHeight="1" s="112">
      <c r="A6" s="45" t="inlineStr">
        <is>
          <t>539427</t>
        </is>
      </c>
      <c r="B6" s="46" t="n">
        <v>0.7048611111111112</v>
      </c>
      <c r="C6" s="101" t="inlineStr">
        <is>
          <t>TST &gt; AP</t>
        </is>
      </c>
      <c r="D6" s="440" t="inlineStr">
        <is>
          <t>Keith CK9898 98880261</t>
        </is>
      </c>
      <c r="E6" s="39" t="inlineStr">
        <is>
          <t>Done</t>
        </is>
      </c>
      <c r="F6" s="40" t="n">
        <v>0.7048611111111112</v>
      </c>
      <c r="G6" s="40" t="n">
        <v>0.7256944444444444</v>
      </c>
      <c r="H6" s="39" t="n"/>
      <c r="I6" s="438" t="n"/>
      <c r="J6" s="450" t="n"/>
      <c r="K6" s="437" t="n"/>
      <c r="L6" s="436" t="n">
        <v>400</v>
      </c>
      <c r="M6" s="437">
        <f>SUM(K6:L6)</f>
        <v/>
      </c>
      <c r="N6" s="437" t="n">
        <v>30</v>
      </c>
    </row>
    <row r="7" ht="17.25" customFormat="1" customHeight="1" s="112">
      <c r="A7" s="45" t="inlineStr">
        <is>
          <t>539423</t>
        </is>
      </c>
      <c r="B7" s="46" t="n">
        <v>0.7361111111111112</v>
      </c>
      <c r="C7" s="167" t="inlineStr">
        <is>
          <t>MB300 &gt; TST</t>
        </is>
      </c>
      <c r="D7" s="487" t="inlineStr">
        <is>
          <t>Keith CK9898 98880261</t>
        </is>
      </c>
      <c r="E7" s="39" t="inlineStr">
        <is>
          <t>Done</t>
        </is>
      </c>
      <c r="F7" s="40" t="n">
        <v>0.7819444444444444</v>
      </c>
      <c r="G7" s="40" t="n">
        <v>0.8069444444444445</v>
      </c>
      <c r="H7" s="39" t="n"/>
      <c r="I7" s="438" t="n"/>
      <c r="J7" s="450" t="inlineStr">
        <is>
          <t>P$35</t>
        </is>
      </c>
      <c r="K7" s="437" t="n">
        <v>35</v>
      </c>
      <c r="L7" s="436" t="n">
        <v>400</v>
      </c>
      <c r="M7" s="437">
        <f>SUM(K7:L7)</f>
        <v/>
      </c>
      <c r="N7" s="437" t="n">
        <v>30</v>
      </c>
    </row>
    <row r="8" ht="17.25" customFormat="1" customHeight="1" s="112">
      <c r="A8" s="45" t="inlineStr">
        <is>
          <t>539423</t>
        </is>
      </c>
      <c r="B8" s="46" t="n">
        <v>0.7361111111111112</v>
      </c>
      <c r="C8" s="167" t="inlineStr">
        <is>
          <t>MB300 &gt; TST</t>
        </is>
      </c>
      <c r="D8" s="487" t="inlineStr">
        <is>
          <t>Frankie FN655 6676 8669</t>
        </is>
      </c>
      <c r="E8" s="39" t="inlineStr">
        <is>
          <t>Done</t>
        </is>
      </c>
      <c r="F8" s="40" t="n">
        <v>0.7819444444444444</v>
      </c>
      <c r="G8" s="40" t="n">
        <v>0.8069444444444445</v>
      </c>
      <c r="H8" s="39" t="n"/>
      <c r="I8" s="438" t="n"/>
      <c r="J8" s="450" t="inlineStr">
        <is>
          <t>P$35</t>
        </is>
      </c>
      <c r="K8" s="437" t="n">
        <v>35</v>
      </c>
      <c r="L8" s="436" t="n">
        <v>400</v>
      </c>
      <c r="M8" s="437">
        <f>SUM(K8:L8)</f>
        <v/>
      </c>
      <c r="N8" s="437" t="n">
        <v>30</v>
      </c>
    </row>
    <row r="9" ht="17.25" customFormat="1" customHeight="1" s="112">
      <c r="A9" s="47" t="inlineStr">
        <is>
          <t>539421</t>
        </is>
      </c>
      <c r="B9" s="48" t="n">
        <v>0.7152777777777778</v>
      </c>
      <c r="C9" s="39" t="inlineStr">
        <is>
          <t>TST &gt; AP</t>
        </is>
      </c>
      <c r="D9" s="440" t="inlineStr">
        <is>
          <t>Frina Chan PS3488 9294 5763</t>
        </is>
      </c>
      <c r="E9" s="39" t="inlineStr">
        <is>
          <t>Done</t>
        </is>
      </c>
      <c r="F9" s="40" t="n">
        <v>0.7986111111111112</v>
      </c>
      <c r="G9" s="166" t="n">
        <v>0.8194444444444444</v>
      </c>
      <c r="H9" s="39" t="n"/>
      <c r="I9" s="438" t="n"/>
      <c r="J9" s="569" t="n"/>
      <c r="K9" s="437" t="n"/>
      <c r="L9" s="436" t="n">
        <v>400</v>
      </c>
      <c r="M9" s="437">
        <f>SUM(K9:L9)</f>
        <v/>
      </c>
      <c r="N9" s="437" t="n">
        <v>30</v>
      </c>
    </row>
    <row r="10" ht="17.25" customFormat="1" customHeight="1" s="112">
      <c r="A10" s="45" t="inlineStr">
        <is>
          <t>539424</t>
        </is>
      </c>
      <c r="B10" s="48" t="n">
        <v>0.8611111111111112</v>
      </c>
      <c r="C10" s="39" t="inlineStr">
        <is>
          <t>TST &gt; AP</t>
        </is>
      </c>
      <c r="D10" s="440" t="inlineStr">
        <is>
          <t>Frankie FN655 6676 8669</t>
        </is>
      </c>
      <c r="E10" s="39" t="inlineStr">
        <is>
          <t>Done</t>
        </is>
      </c>
      <c r="F10" s="40" t="n">
        <v>0.8611111111111112</v>
      </c>
      <c r="G10" s="40" t="n">
        <v>0.8819444444444444</v>
      </c>
      <c r="H10" s="39" t="n"/>
      <c r="I10" s="438" t="n"/>
      <c r="J10" s="450" t="n"/>
      <c r="K10" s="437" t="n"/>
      <c r="L10" s="436" t="n">
        <v>400</v>
      </c>
      <c r="M10" s="437">
        <f>SUM(K10:L10)</f>
        <v/>
      </c>
      <c r="N10" s="437" t="n">
        <v>30</v>
      </c>
    </row>
    <row r="11" ht="17.25" customHeight="1">
      <c r="A11" s="1" t="n"/>
      <c r="B11" s="52" t="n"/>
      <c r="C11" s="53" t="n"/>
      <c r="D11" s="452" t="n"/>
      <c r="E11" s="53" t="n"/>
      <c r="F11" s="54" t="n"/>
      <c r="G11" s="54" t="n"/>
      <c r="H11" s="53" t="n"/>
      <c r="I11" s="453" t="n"/>
      <c r="J11" s="455" t="n"/>
      <c r="K11" s="451" t="n"/>
      <c r="L11" s="478" t="n"/>
      <c r="M11" s="448">
        <f>SUM(K11:L11)</f>
        <v/>
      </c>
      <c r="N11" s="437" t="n"/>
    </row>
    <row r="12" ht="17.25" customFormat="1" customHeight="1" s="6">
      <c r="A12" s="51" t="n"/>
      <c r="B12" s="52" t="n"/>
      <c r="C12" s="53" t="n"/>
      <c r="D12" s="452" t="n"/>
      <c r="E12" s="53" t="n"/>
      <c r="F12" s="54" t="n"/>
      <c r="G12" s="54" t="n"/>
      <c r="H12" s="457" t="n"/>
      <c r="I12" s="453" t="n"/>
      <c r="J12" s="455" t="n"/>
      <c r="K12" s="451" t="n"/>
      <c r="L12" s="478" t="n"/>
      <c r="M12" s="448">
        <f>SUM(K12:L12)</f>
        <v/>
      </c>
      <c r="N12" s="437" t="n"/>
    </row>
    <row r="13" ht="17.25" customFormat="1" customHeight="1" s="6">
      <c r="A13" s="59" t="n"/>
      <c r="B13" s="52" t="n"/>
      <c r="C13" s="53" t="n"/>
      <c r="D13" s="452" t="n"/>
      <c r="E13" s="53" t="n"/>
      <c r="F13" s="54" t="n"/>
      <c r="G13" s="54" t="n"/>
      <c r="H13" s="53" t="n"/>
      <c r="I13" s="453" t="n"/>
      <c r="J13" s="455" t="n"/>
      <c r="K13" s="451" t="n"/>
      <c r="L13" s="478" t="n"/>
      <c r="M13" s="448">
        <f>SUM(K13:L13)</f>
        <v/>
      </c>
      <c r="N13" s="437" t="n"/>
    </row>
    <row r="14" ht="17.25" customHeight="1">
      <c r="A14" s="45" t="n"/>
      <c r="B14" s="48" t="n"/>
      <c r="C14" s="39" t="n"/>
      <c r="D14" s="440" t="n"/>
      <c r="E14" s="39" t="n"/>
      <c r="F14" s="40" t="n"/>
      <c r="G14" s="40" t="n"/>
      <c r="H14" s="39" t="n"/>
      <c r="I14" s="438" t="n"/>
      <c r="J14" s="441" t="n"/>
      <c r="K14" s="437" t="n"/>
      <c r="L14" s="436" t="n"/>
      <c r="M14" s="448">
        <f>SUM(K14:L14)</f>
        <v/>
      </c>
      <c r="N14" s="437" t="n"/>
    </row>
    <row r="15" ht="17.25" customHeight="1">
      <c r="A15" s="45" t="n"/>
      <c r="B15" s="46" t="n"/>
      <c r="C15" s="39" t="n"/>
      <c r="D15" s="454" t="n"/>
      <c r="E15" s="39" t="n"/>
      <c r="F15" s="40" t="n"/>
      <c r="G15" s="40" t="n"/>
      <c r="H15" s="39" t="n"/>
      <c r="I15" s="438" t="n"/>
      <c r="J15" s="441" t="n"/>
      <c r="K15" s="437" t="n"/>
      <c r="L15" s="436" t="n"/>
      <c r="M15" s="448">
        <f>SUM(K15:L15)</f>
        <v/>
      </c>
      <c r="N15" s="437" t="n"/>
    </row>
    <row r="16" ht="17.25" customHeight="1">
      <c r="A16" s="47" t="n"/>
      <c r="B16" s="48" t="n"/>
      <c r="C16" s="39" t="n"/>
      <c r="D16" s="454" t="n"/>
      <c r="E16" s="39" t="n"/>
      <c r="F16" s="40" t="n"/>
      <c r="G16" s="40" t="n"/>
      <c r="H16" s="39" t="n"/>
      <c r="I16" s="438" t="n"/>
      <c r="J16" s="441" t="n"/>
      <c r="K16" s="437" t="n"/>
      <c r="L16" s="436" t="n"/>
      <c r="M16" s="448">
        <f>SUM(K16:L16)</f>
        <v/>
      </c>
      <c r="N16" s="437" t="n"/>
    </row>
    <row r="17" ht="17.25" customHeight="1">
      <c r="A17" s="45" t="n"/>
      <c r="B17" s="46" t="n"/>
      <c r="C17" s="39" t="n"/>
      <c r="D17" s="440" t="n"/>
      <c r="E17" s="39" t="n"/>
      <c r="F17" s="40" t="n"/>
      <c r="G17" s="40" t="n"/>
      <c r="H17" s="39" t="n"/>
      <c r="I17" s="438" t="n"/>
      <c r="J17" s="441" t="n"/>
      <c r="K17" s="437" t="n"/>
      <c r="L17" s="437" t="n"/>
      <c r="M17" s="448">
        <f>SUM(K17:L17)</f>
        <v/>
      </c>
      <c r="N17" s="437" t="n"/>
    </row>
    <row r="18" ht="17.25" customHeight="1">
      <c r="A18" s="1" t="n"/>
      <c r="B18" s="8" t="n"/>
      <c r="C18" s="53" t="n"/>
      <c r="D18" s="425" t="n"/>
      <c r="E18" s="53" t="n"/>
      <c r="F18" s="61" t="n"/>
      <c r="G18" s="61" t="n"/>
      <c r="H18" s="53" t="n"/>
      <c r="I18" s="453" t="n"/>
      <c r="J18" s="455" t="n"/>
      <c r="K18" s="451" t="n"/>
      <c r="L18" s="451" t="n"/>
      <c r="M18" s="448">
        <f>SUM(K18:L18)</f>
        <v/>
      </c>
      <c r="N18" s="437" t="n"/>
    </row>
    <row r="19" ht="17.25" customHeight="1">
      <c r="A19" s="51" t="n"/>
      <c r="B19" s="62" t="n"/>
      <c r="C19" s="53" t="n"/>
      <c r="D19" s="425" t="n"/>
      <c r="E19" s="53" t="n"/>
      <c r="F19" s="61" t="n"/>
      <c r="G19" s="61" t="n"/>
      <c r="H19" s="53" t="n"/>
      <c r="I19" s="453" t="n"/>
      <c r="J19" s="455" t="n"/>
      <c r="K19" s="451" t="n"/>
      <c r="L19" s="451" t="n"/>
      <c r="M19" s="448">
        <f>SUM(K19:L19)</f>
        <v/>
      </c>
      <c r="N19" s="437" t="n"/>
    </row>
    <row r="20" ht="17.25" customHeight="1">
      <c r="A20" s="51" t="n"/>
      <c r="B20" s="62" t="n"/>
      <c r="C20" s="53" t="n"/>
      <c r="D20" s="425" t="n"/>
      <c r="E20" s="53" t="n"/>
      <c r="F20" s="61" t="n"/>
      <c r="G20" s="61" t="n"/>
      <c r="H20" s="53" t="n"/>
      <c r="I20" s="453" t="n"/>
      <c r="J20" s="455" t="n"/>
      <c r="K20" s="451" t="n"/>
      <c r="L20" s="451" t="n"/>
      <c r="M20" s="448">
        <f>SUM(K20:L20)</f>
        <v/>
      </c>
      <c r="N20" s="437" t="n"/>
    </row>
    <row r="21" ht="17.25" customHeight="1">
      <c r="A21" s="51" t="n"/>
      <c r="B21" s="62" t="n"/>
      <c r="C21" s="53" t="n"/>
      <c r="D21" s="425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48">
        <f>SUM(K21:L21)</f>
        <v/>
      </c>
      <c r="N21" s="437" t="n"/>
    </row>
    <row r="22" ht="17.25" customHeight="1">
      <c r="A22" s="51" t="n"/>
      <c r="B22" s="62" t="n"/>
      <c r="C22" s="53" t="n"/>
      <c r="D22" s="425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48">
        <f>SUM(K22:L22)</f>
        <v/>
      </c>
      <c r="N22" s="437" t="n"/>
    </row>
    <row r="23" ht="17.25" customHeight="1">
      <c r="A23" s="51" t="n"/>
      <c r="B23" s="62" t="n"/>
      <c r="C23" s="53" t="n"/>
      <c r="D23" s="456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48">
        <f>SUM(K23:L23)</f>
        <v/>
      </c>
      <c r="N23" s="437" t="n"/>
    </row>
    <row r="24" ht="17.25" customHeight="1">
      <c r="A24" s="51" t="n"/>
      <c r="B24" s="62" t="n"/>
      <c r="C24" s="53" t="n"/>
      <c r="D24" s="53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48">
        <f>SUM(K24:L24)</f>
        <v/>
      </c>
      <c r="N24" s="437" t="n"/>
    </row>
    <row r="25" ht="17.25" customHeight="1">
      <c r="A25" s="51" t="n"/>
      <c r="B25" s="62" t="n"/>
      <c r="C25" s="53" t="n"/>
      <c r="D25" s="425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48">
        <f>SUM(K25:L25)</f>
        <v/>
      </c>
      <c r="N25" s="437" t="n"/>
    </row>
    <row r="26" ht="17.25" customHeight="1">
      <c r="A26" s="51" t="n"/>
      <c r="B26" s="62" t="n"/>
      <c r="C26" s="53" t="n"/>
      <c r="D26" s="425" t="n"/>
      <c r="E26" s="53" t="n"/>
      <c r="F26" s="61" t="n"/>
      <c r="G26" s="61" t="n"/>
      <c r="H26" s="53" t="n"/>
      <c r="I26" s="453" t="n"/>
      <c r="J26" s="455" t="n"/>
      <c r="K26" s="451" t="n"/>
      <c r="L26" s="451" t="n"/>
      <c r="M26" s="448">
        <f>SUM(K26:L26)</f>
        <v/>
      </c>
      <c r="N26" s="437" t="n"/>
    </row>
    <row r="27" ht="17.25" customHeight="1">
      <c r="A27" s="51" t="n"/>
      <c r="B27" s="62" t="n"/>
      <c r="C27" s="53" t="n"/>
      <c r="D27" s="456" t="n"/>
      <c r="E27" s="53" t="n"/>
      <c r="F27" s="61" t="n"/>
      <c r="G27" s="61" t="n"/>
      <c r="H27" s="53" t="n"/>
      <c r="I27" s="453" t="n"/>
      <c r="J27" s="455" t="n"/>
      <c r="K27" s="451" t="n"/>
      <c r="L27" s="451" t="n"/>
      <c r="M27" s="448">
        <f>SUM(K27:L27)</f>
        <v/>
      </c>
      <c r="N27" s="437" t="n"/>
    </row>
    <row r="28" ht="17.25" customHeight="1">
      <c r="A28" s="51" t="n"/>
      <c r="B28" s="62" t="n"/>
      <c r="C28" s="53" t="n"/>
      <c r="D28" s="53" t="n"/>
      <c r="E28" s="53" t="n"/>
      <c r="F28" s="61" t="n"/>
      <c r="G28" s="61" t="n"/>
      <c r="H28" s="53" t="n"/>
      <c r="I28" s="453" t="n"/>
      <c r="J28" s="455" t="n"/>
      <c r="K28" s="451" t="n"/>
      <c r="L28" s="451" t="n"/>
      <c r="M28" s="448">
        <f>SUM(K28:L28)</f>
        <v/>
      </c>
      <c r="N28" s="437" t="n"/>
    </row>
    <row r="29" ht="17.25" customHeight="1">
      <c r="A29" s="51" t="n"/>
      <c r="B29" s="62" t="n"/>
      <c r="C29" s="53" t="n"/>
      <c r="D29" s="425" t="n"/>
      <c r="E29" s="53" t="n"/>
      <c r="F29" s="61" t="n"/>
      <c r="G29" s="61" t="n"/>
      <c r="H29" s="53" t="n"/>
      <c r="I29" s="453" t="n"/>
      <c r="J29" s="455" t="n"/>
      <c r="K29" s="451" t="n"/>
      <c r="L29" s="451" t="n"/>
      <c r="M29" s="448">
        <f>SUM(K29:L29)</f>
        <v/>
      </c>
      <c r="N29" s="437" t="n"/>
    </row>
    <row r="30">
      <c r="A30" s="51" t="n"/>
      <c r="B30" s="62" t="n"/>
      <c r="C30" s="53" t="n"/>
      <c r="D30" s="476" t="n"/>
      <c r="E30" s="53" t="n"/>
      <c r="F30" s="61" t="n"/>
      <c r="G30" s="61" t="n"/>
      <c r="H30" s="53" t="n"/>
      <c r="I30" s="453" t="n"/>
      <c r="J30" s="455" t="n"/>
      <c r="K30" s="451" t="n"/>
      <c r="L30" s="451" t="n"/>
      <c r="M30" s="448">
        <f>SUM(K30:L30)</f>
        <v/>
      </c>
      <c r="N30" s="437" t="n"/>
    </row>
    <row r="31">
      <c r="A31" s="51" t="n"/>
      <c r="B31" s="62" t="n"/>
      <c r="C31" s="53" t="n"/>
      <c r="D31" s="425" t="n"/>
      <c r="E31" s="53" t="n"/>
      <c r="F31" s="61" t="n"/>
      <c r="G31" s="61" t="n"/>
      <c r="H31" s="53" t="n"/>
      <c r="I31" s="453" t="n"/>
      <c r="J31" s="455" t="n"/>
      <c r="K31" s="451" t="n"/>
      <c r="L31" s="451" t="n"/>
      <c r="M31" s="448">
        <f>SUM(K31:L31)</f>
        <v/>
      </c>
      <c r="N31" s="437" t="n"/>
    </row>
    <row r="32">
      <c r="A32" s="51" t="n"/>
      <c r="B32" s="62" t="n"/>
      <c r="C32" s="53" t="n"/>
      <c r="D32" s="9" t="n"/>
      <c r="E32" s="53" t="n"/>
      <c r="F32" s="61" t="n"/>
      <c r="G32" s="61" t="n"/>
      <c r="H32" s="53" t="n"/>
      <c r="I32" s="453" t="n"/>
      <c r="J32" s="455" t="n"/>
      <c r="K32" s="451" t="n"/>
      <c r="L32" s="451" t="n"/>
      <c r="M32" s="448">
        <f>SUM(K32:L32)</f>
        <v/>
      </c>
      <c r="N32" s="437" t="n"/>
    </row>
    <row r="33">
      <c r="A33" s="51" t="n"/>
      <c r="B33" s="62" t="n"/>
      <c r="C33" s="53" t="n"/>
      <c r="D33" s="425" t="n"/>
      <c r="E33" s="53" t="n"/>
      <c r="F33" s="61" t="n"/>
      <c r="G33" s="61" t="n"/>
      <c r="H33" s="53" t="n"/>
      <c r="I33" s="453" t="n"/>
      <c r="J33" s="455" t="n"/>
      <c r="K33" s="451" t="n"/>
      <c r="L33" s="451" t="n"/>
      <c r="M33" s="448">
        <f>SUM(K33:L33)</f>
        <v/>
      </c>
      <c r="N33" s="437" t="n"/>
    </row>
    <row r="34">
      <c r="A34" s="51" t="n"/>
      <c r="B34" s="62" t="n"/>
      <c r="C34" s="53" t="n"/>
      <c r="D34" s="425" t="n"/>
      <c r="E34" s="53" t="n"/>
      <c r="F34" s="61" t="n"/>
      <c r="G34" s="61" t="n"/>
      <c r="H34" s="53" t="n"/>
      <c r="I34" s="453" t="n"/>
      <c r="J34" s="455" t="n"/>
      <c r="K34" s="451" t="n"/>
      <c r="L34" s="451" t="n"/>
      <c r="M34" s="448">
        <f>SUM(K34:L34)</f>
        <v/>
      </c>
      <c r="N34" s="437" t="n"/>
    </row>
    <row r="35">
      <c r="A35" s="51" t="n"/>
      <c r="B35" s="62" t="n"/>
      <c r="C35" s="53" t="n"/>
      <c r="D35" s="456" t="n"/>
      <c r="E35" s="10" t="n"/>
      <c r="F35" s="61" t="n"/>
      <c r="G35" s="61" t="n"/>
      <c r="H35" s="10" t="n"/>
      <c r="I35" s="461" t="n"/>
      <c r="J35" s="458" t="n"/>
      <c r="K35" s="459" t="n"/>
      <c r="L35" s="459" t="n"/>
      <c r="M35" s="448">
        <f>SUM(K35:L35)</f>
        <v/>
      </c>
      <c r="N35" s="437" t="n"/>
    </row>
    <row r="36">
      <c r="A36" s="14" t="n"/>
      <c r="B36" s="15" t="n"/>
      <c r="C36" s="10" t="n"/>
      <c r="D36" s="425" t="n"/>
      <c r="E36" s="10" t="n"/>
      <c r="F36" s="61" t="n"/>
      <c r="G36" s="61" t="n"/>
      <c r="H36" s="10" t="n"/>
      <c r="I36" s="461" t="n"/>
      <c r="J36" s="458" t="n"/>
      <c r="K36" s="459" t="n"/>
      <c r="L36" s="459" t="n"/>
      <c r="M36" s="448">
        <f>SUM(K36:L36)</f>
        <v/>
      </c>
      <c r="N36" s="437" t="n"/>
    </row>
    <row r="37">
      <c r="A37" s="14" t="n"/>
      <c r="B37" s="15" t="n"/>
      <c r="C37" s="10" t="n"/>
      <c r="D37" s="460" t="n"/>
      <c r="E37" s="10" t="n"/>
      <c r="F37" s="61" t="n"/>
      <c r="G37" s="61" t="n"/>
      <c r="H37" s="10" t="n"/>
      <c r="I37" s="461" t="n"/>
      <c r="J37" s="458" t="n"/>
      <c r="K37" s="459" t="n"/>
      <c r="L37" s="459" t="n"/>
      <c r="M37" s="448">
        <f>SUM(K37:L37)</f>
        <v/>
      </c>
      <c r="N37" s="437" t="n"/>
    </row>
    <row r="38">
      <c r="A38" s="14" t="n"/>
      <c r="B38" s="15" t="n"/>
      <c r="C38" s="10" t="n"/>
      <c r="D38" s="460" t="n"/>
      <c r="E38" s="10" t="n"/>
      <c r="F38" s="61" t="n"/>
      <c r="G38" s="61" t="n"/>
      <c r="H38" s="10" t="n"/>
      <c r="I38" s="461" t="n"/>
      <c r="J38" s="458" t="n"/>
      <c r="K38" s="459" t="n"/>
      <c r="L38" s="459" t="n"/>
      <c r="M38" s="448">
        <f>SUM(K38:L38)</f>
        <v/>
      </c>
      <c r="N38" s="437" t="n"/>
    </row>
    <row r="39">
      <c r="A39" s="20" t="n"/>
      <c r="B39" s="21" t="n"/>
      <c r="C39" s="22" t="n"/>
      <c r="D39" s="21" t="n"/>
      <c r="E39" s="21" t="n"/>
      <c r="F39" s="21" t="n"/>
      <c r="G39" s="21" t="n"/>
      <c r="H39" s="21" t="n"/>
      <c r="I39" s="465" t="n"/>
      <c r="J39" s="469" t="n"/>
      <c r="K39" s="470" t="n"/>
      <c r="L39" s="470" t="n"/>
      <c r="M39" s="470" t="n"/>
      <c r="N39" s="437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9" t="n"/>
      <c r="K40" s="470" t="n"/>
      <c r="L40" s="470" t="n"/>
      <c r="M40" s="472">
        <f>SUM(M2:M39)</f>
        <v/>
      </c>
      <c r="N40" s="472">
        <f>SUM(N2:N39)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9" t="n"/>
      <c r="K41" s="470" t="n"/>
      <c r="L41" s="470" t="n"/>
      <c r="M41" s="473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9" t="n"/>
      <c r="K42" s="470" t="n"/>
      <c r="L42" s="47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134"/>
  <sheetViews>
    <sheetView topLeftCell="B12" zoomScale="78" zoomScaleNormal="78" workbookViewId="0">
      <selection activeCell="B38" sqref="A38:XFD38"/>
    </sheetView>
  </sheetViews>
  <sheetFormatPr baseColWidth="8" defaultColWidth="8.75" defaultRowHeight="15"/>
  <cols>
    <col width="9" customWidth="1" style="29" min="1" max="1"/>
    <col width="60.125" customWidth="1" min="3" max="3"/>
    <col width="25.25" customWidth="1" min="4" max="4"/>
    <col width="9" bestFit="1" customWidth="1" min="5" max="7"/>
    <col width="11.5" bestFit="1" customWidth="1" min="8" max="8"/>
    <col width="9.5" customWidth="1" min="9" max="9"/>
    <col width="36.25" customWidth="1" style="423" min="10" max="10"/>
    <col width="9" bestFit="1" customWidth="1" style="424" min="11" max="12"/>
    <col width="15.125" customWidth="1" style="424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5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Format="1" customHeight="1" s="112">
      <c r="A2" s="145" t="n"/>
      <c r="B2" s="130" t="n"/>
      <c r="C2" s="200" t="n"/>
      <c r="D2" s="518" t="n"/>
      <c r="E2" s="93" t="n"/>
      <c r="F2" s="113" t="n"/>
      <c r="G2" s="113" t="n"/>
      <c r="H2" s="93" t="n"/>
      <c r="I2" s="433" t="n"/>
      <c r="J2" s="570" t="n"/>
      <c r="K2" s="571" t="n"/>
      <c r="L2" s="436" t="n"/>
      <c r="M2" s="437">
        <f>SUM(K2:L2)</f>
        <v/>
      </c>
      <c r="N2" s="437" t="n"/>
    </row>
    <row r="3" ht="17.25" customFormat="1" customHeight="1" s="112">
      <c r="A3" s="291" t="n"/>
      <c r="B3" s="198" t="n"/>
      <c r="C3" s="301" t="n"/>
      <c r="D3" s="518" t="n"/>
      <c r="E3" s="158" t="n"/>
      <c r="F3" s="311" t="n"/>
      <c r="G3" s="311" t="n"/>
      <c r="H3" s="158" t="n"/>
      <c r="I3" s="509" t="n"/>
      <c r="J3" s="572" t="n"/>
      <c r="K3" s="573" t="n"/>
      <c r="L3" s="477" t="n"/>
      <c r="M3" s="448">
        <f>SUM(K3:L3)</f>
        <v/>
      </c>
      <c r="N3" s="448" t="n"/>
    </row>
    <row r="4" ht="17.25" customFormat="1" customHeight="1" s="112">
      <c r="A4" s="291" t="n"/>
      <c r="B4" s="198" t="n"/>
      <c r="C4" s="301" t="n"/>
      <c r="D4" s="491" t="n"/>
      <c r="E4" s="39" t="n"/>
      <c r="F4" s="311" t="n"/>
      <c r="G4" s="311" t="n"/>
      <c r="H4" s="158" t="n"/>
      <c r="I4" s="509" t="n"/>
      <c r="J4" s="438" t="n"/>
      <c r="K4" s="437" t="n"/>
      <c r="L4" s="436" t="n"/>
      <c r="M4" s="437">
        <f>SUM(K4:L4)</f>
        <v/>
      </c>
      <c r="N4" s="437" t="n"/>
    </row>
    <row r="5" ht="17.25" customFormat="1" customHeight="1" s="112">
      <c r="A5" s="291" t="n"/>
      <c r="B5" s="198" t="n"/>
      <c r="C5" s="301" t="n"/>
      <c r="D5" s="487" t="n"/>
      <c r="E5" s="165" t="n"/>
      <c r="F5" s="166" t="n"/>
      <c r="G5" s="166" t="n"/>
      <c r="H5" s="158" t="n"/>
      <c r="I5" s="509" t="n"/>
      <c r="J5" s="313" t="n"/>
      <c r="K5" s="448" t="n"/>
      <c r="L5" s="477" t="n"/>
      <c r="M5" s="437">
        <f>SUM(K5:L5)</f>
        <v/>
      </c>
      <c r="N5" s="437" t="n"/>
    </row>
    <row r="6" ht="17.25" customFormat="1" customHeight="1" s="112">
      <c r="A6" s="291" t="n"/>
      <c r="B6" s="198" t="n"/>
      <c r="C6" s="39" t="n"/>
      <c r="D6" s="487" t="n"/>
      <c r="E6" s="39" t="n"/>
      <c r="F6" s="40" t="n"/>
      <c r="G6" s="40" t="n"/>
      <c r="H6" s="158" t="n"/>
      <c r="I6" s="509" t="n"/>
      <c r="J6" s="438" t="n"/>
      <c r="K6" s="437" t="n"/>
      <c r="L6" s="436" t="n"/>
      <c r="M6" s="437">
        <f>SUM(K6:L6)</f>
        <v/>
      </c>
      <c r="N6" s="437" t="n"/>
    </row>
    <row r="7" ht="17.25" customHeight="1">
      <c r="A7" s="167" t="n"/>
      <c r="B7" s="46" t="n"/>
      <c r="C7" s="93" t="n"/>
      <c r="D7" s="487" t="n"/>
      <c r="E7" s="165" t="n"/>
      <c r="F7" s="166" t="n"/>
      <c r="G7" s="166" t="n"/>
      <c r="H7" s="39" t="n"/>
      <c r="I7" s="438" t="n"/>
      <c r="J7" s="485" t="n"/>
      <c r="K7" s="488" t="n"/>
      <c r="L7" s="489" t="n"/>
      <c r="M7" s="437">
        <f>SUM(K7:L7)</f>
        <v/>
      </c>
      <c r="N7" s="437" t="n"/>
    </row>
    <row r="8" ht="17.25" customHeight="1">
      <c r="A8" s="91" t="n"/>
      <c r="B8" s="46" t="n"/>
      <c r="C8" s="39" t="n"/>
      <c r="D8" s="491" t="n"/>
      <c r="E8" s="39" t="n"/>
      <c r="F8" s="40" t="n"/>
      <c r="G8" s="40" t="n"/>
      <c r="H8" s="39" t="n"/>
      <c r="I8" s="438" t="n"/>
      <c r="J8" s="438" t="n"/>
      <c r="K8" s="437" t="n"/>
      <c r="L8" s="436" t="n"/>
      <c r="M8" s="437">
        <f>SUM(K8:L8)</f>
        <v/>
      </c>
      <c r="N8" s="437" t="n"/>
    </row>
    <row r="9" ht="17.25" customHeight="1">
      <c r="A9" s="91" t="n"/>
      <c r="B9" s="174" t="n"/>
      <c r="C9" s="165" t="n"/>
      <c r="D9" s="440" t="n"/>
      <c r="E9" s="39" t="n"/>
      <c r="F9" s="40" t="n"/>
      <c r="G9" s="40" t="n"/>
      <c r="H9" s="39" t="n"/>
      <c r="I9" s="438" t="n"/>
      <c r="J9" s="441" t="n"/>
      <c r="K9" s="437" t="n"/>
      <c r="L9" s="436" t="n"/>
      <c r="M9" s="437">
        <f>SUM(K9:L9)</f>
        <v/>
      </c>
      <c r="N9" s="437" t="n"/>
    </row>
    <row r="10">
      <c r="A10" s="45" t="n"/>
      <c r="B10" s="46" t="n"/>
      <c r="C10" s="39" t="n"/>
      <c r="D10" s="454" t="n"/>
      <c r="E10" s="39" t="n"/>
      <c r="F10" s="40" t="n"/>
      <c r="G10" s="40" t="n"/>
      <c r="H10" s="39" t="n"/>
      <c r="I10" s="438" t="n"/>
      <c r="J10" s="441" t="n"/>
      <c r="K10" s="437" t="n"/>
      <c r="L10" s="436" t="n"/>
      <c r="M10" s="448">
        <f>SUM(K10:L10)</f>
        <v/>
      </c>
      <c r="N10" s="437" t="n"/>
    </row>
    <row r="11">
      <c r="A11" s="47" t="n"/>
      <c r="B11" s="48" t="n"/>
      <c r="C11" s="39" t="n"/>
      <c r="D11" s="454" t="n"/>
      <c r="E11" s="39" t="n"/>
      <c r="F11" s="40" t="n"/>
      <c r="G11" s="40" t="n"/>
      <c r="H11" s="39" t="n"/>
      <c r="I11" s="438" t="n"/>
      <c r="J11" s="441" t="n"/>
      <c r="K11" s="437" t="n"/>
      <c r="L11" s="436" t="n"/>
      <c r="M11" s="448">
        <f>SUM(K11:L11)</f>
        <v/>
      </c>
      <c r="N11" s="437" t="n"/>
    </row>
    <row r="12">
      <c r="A12" s="45" t="n"/>
      <c r="B12" s="46" t="n"/>
      <c r="C12" s="39" t="n"/>
      <c r="D12" s="440" t="n"/>
      <c r="E12" s="39" t="n"/>
      <c r="F12" s="40" t="n"/>
      <c r="G12" s="40" t="n"/>
      <c r="H12" s="39" t="n"/>
      <c r="I12" s="438" t="n"/>
      <c r="J12" s="441" t="n"/>
      <c r="K12" s="437" t="n"/>
      <c r="L12" s="437" t="n"/>
      <c r="M12" s="448">
        <f>SUM(K12:L12)</f>
        <v/>
      </c>
      <c r="N12" s="437" t="n"/>
    </row>
    <row r="13">
      <c r="A13" s="1" t="n"/>
      <c r="B13" s="8" t="n"/>
      <c r="C13" s="53" t="n"/>
      <c r="D13" s="425" t="n"/>
      <c r="E13" s="53" t="n"/>
      <c r="F13" s="61" t="n"/>
      <c r="G13" s="61" t="n"/>
      <c r="H13" s="53" t="n"/>
      <c r="I13" s="453" t="n"/>
      <c r="J13" s="455" t="n"/>
      <c r="K13" s="451" t="n"/>
      <c r="L13" s="451" t="n"/>
      <c r="M13" s="448">
        <f>SUM(K13:L13)</f>
        <v/>
      </c>
      <c r="N13" s="437" t="n"/>
    </row>
    <row r="14">
      <c r="A14" s="368" t="n"/>
      <c r="B14" s="338" t="n"/>
      <c r="C14" s="53" t="n"/>
      <c r="D14" s="425" t="n"/>
      <c r="E14" s="53" t="n"/>
      <c r="F14" s="61" t="n"/>
      <c r="G14" s="61" t="n"/>
      <c r="H14" s="53" t="n"/>
      <c r="I14" s="453" t="n"/>
      <c r="J14" s="455" t="n"/>
      <c r="K14" s="451" t="n"/>
      <c r="L14" s="451" t="n"/>
      <c r="M14" s="448">
        <f>SUM(K14:L14)</f>
        <v/>
      </c>
      <c r="N14" s="437" t="n"/>
    </row>
    <row r="15">
      <c r="A15" s="51" t="n"/>
      <c r="B15" s="62" t="n"/>
      <c r="C15" s="53" t="n"/>
      <c r="D15" s="425" t="n"/>
      <c r="E15" s="53" t="n"/>
      <c r="F15" s="61" t="n"/>
      <c r="G15" s="61" t="n"/>
      <c r="H15" s="53" t="n"/>
      <c r="I15" s="453" t="n"/>
      <c r="J15" s="455" t="n"/>
      <c r="K15" s="451" t="n"/>
      <c r="L15" s="451" t="n"/>
      <c r="M15" s="448">
        <f>SUM(K15:L15)</f>
        <v/>
      </c>
      <c r="N15" s="437" t="n"/>
    </row>
    <row r="16">
      <c r="A16" s="51" t="n"/>
      <c r="B16" s="62" t="n"/>
      <c r="C16" s="53" t="n"/>
      <c r="D16" s="425" t="n"/>
      <c r="E16" s="53" t="n"/>
      <c r="F16" s="61" t="n"/>
      <c r="G16" s="61" t="n"/>
      <c r="H16" s="53" t="n"/>
      <c r="I16" s="453" t="n"/>
      <c r="J16" s="455" t="n"/>
      <c r="K16" s="451" t="n"/>
      <c r="L16" s="451" t="n"/>
      <c r="M16" s="448">
        <f>SUM(K16:L16)</f>
        <v/>
      </c>
      <c r="N16" s="437" t="n"/>
    </row>
    <row r="17">
      <c r="A17" s="51" t="n"/>
      <c r="B17" s="62" t="n"/>
      <c r="C17" s="53" t="n"/>
      <c r="D17" s="425" t="n"/>
      <c r="E17" s="53" t="n"/>
      <c r="F17" s="61" t="n"/>
      <c r="G17" s="61" t="n"/>
      <c r="H17" s="53" t="n"/>
      <c r="I17" s="453" t="n"/>
      <c r="J17" s="455" t="n"/>
      <c r="K17" s="451" t="n"/>
      <c r="L17" s="451" t="n"/>
      <c r="M17" s="448">
        <f>SUM(K17:L17)</f>
        <v/>
      </c>
      <c r="N17" s="437" t="n"/>
    </row>
    <row r="18">
      <c r="A18" s="51" t="n"/>
      <c r="B18" s="62" t="n"/>
      <c r="C18" s="53" t="n"/>
      <c r="D18" s="456" t="n"/>
      <c r="E18" s="53" t="n"/>
      <c r="F18" s="61" t="n"/>
      <c r="G18" s="61" t="n"/>
      <c r="H18" s="53" t="n"/>
      <c r="I18" s="453" t="n"/>
      <c r="J18" s="455" t="n"/>
      <c r="K18" s="451" t="n"/>
      <c r="L18" s="451" t="n"/>
      <c r="M18" s="448">
        <f>SUM(K18:L18)</f>
        <v/>
      </c>
      <c r="N18" s="437" t="n"/>
    </row>
    <row r="19">
      <c r="A19" s="51" t="n"/>
      <c r="B19" s="62" t="n"/>
      <c r="C19" s="53" t="n"/>
      <c r="D19" s="53" t="n"/>
      <c r="E19" s="53" t="n"/>
      <c r="F19" s="61" t="n"/>
      <c r="G19" s="61" t="n"/>
      <c r="H19" s="53" t="n"/>
      <c r="I19" s="453" t="n"/>
      <c r="J19" s="455" t="n"/>
      <c r="K19" s="451" t="n"/>
      <c r="L19" s="451" t="n"/>
      <c r="M19" s="448">
        <f>SUM(K19:L19)</f>
        <v/>
      </c>
      <c r="N19" s="437" t="n"/>
    </row>
    <row r="20">
      <c r="A20" s="51" t="n"/>
      <c r="B20" s="62" t="n"/>
      <c r="C20" s="53" t="n"/>
      <c r="D20" s="425" t="n"/>
      <c r="E20" s="53" t="n"/>
      <c r="F20" s="61" t="n"/>
      <c r="G20" s="61" t="n"/>
      <c r="H20" s="53" t="n"/>
      <c r="I20" s="453" t="n"/>
      <c r="J20" s="446" t="n"/>
      <c r="K20" s="451" t="n"/>
      <c r="L20" s="451" t="n"/>
      <c r="M20" s="448">
        <f>SUM(K20:L20)</f>
        <v/>
      </c>
      <c r="N20" s="437" t="n"/>
    </row>
    <row r="21">
      <c r="A21" s="51" t="n"/>
      <c r="B21" s="62" t="n"/>
      <c r="C21" s="53" t="n"/>
      <c r="D21" s="476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48">
        <f>SUM(K21:L21)</f>
        <v/>
      </c>
      <c r="N21" s="437" t="n"/>
    </row>
    <row r="22">
      <c r="A22" s="51" t="n"/>
      <c r="B22" s="62" t="n"/>
      <c r="C22" s="53" t="n"/>
      <c r="D22" s="425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48">
        <f>SUM(K22:L22)</f>
        <v/>
      </c>
      <c r="N22" s="437" t="n"/>
    </row>
    <row r="23">
      <c r="A23" s="51" t="n"/>
      <c r="B23" s="62" t="n"/>
      <c r="C23" s="53" t="n"/>
      <c r="D23" s="9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48">
        <f>SUM(K23:L23)</f>
        <v/>
      </c>
      <c r="N23" s="437" t="n"/>
    </row>
    <row r="24">
      <c r="A24" s="51" t="n"/>
      <c r="B24" s="62" t="n"/>
      <c r="C24" s="53" t="n"/>
      <c r="D24" s="425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48">
        <f>SUM(K24:L24)</f>
        <v/>
      </c>
      <c r="N24" s="437" t="n"/>
    </row>
    <row r="25">
      <c r="A25" s="51" t="n"/>
      <c r="B25" s="62" t="n"/>
      <c r="C25" s="53" t="n"/>
      <c r="D25" s="425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48">
        <f>SUM(K25:L25)</f>
        <v/>
      </c>
      <c r="N25" s="437" t="n"/>
    </row>
    <row r="26">
      <c r="A26" s="51" t="n"/>
      <c r="B26" s="62" t="n"/>
      <c r="C26" s="53" t="n"/>
      <c r="D26" s="456" t="n"/>
      <c r="E26" s="10" t="n"/>
      <c r="F26" s="61" t="n"/>
      <c r="G26" s="61" t="n"/>
      <c r="H26" s="10" t="n"/>
      <c r="I26" s="461" t="n"/>
      <c r="J26" s="458" t="n"/>
      <c r="K26" s="459" t="n"/>
      <c r="L26" s="459" t="n"/>
      <c r="M26" s="448">
        <f>SUM(K26:L26)</f>
        <v/>
      </c>
      <c r="N26" s="437" t="n"/>
    </row>
    <row r="27">
      <c r="A27" s="14" t="n"/>
      <c r="B27" s="15" t="n"/>
      <c r="C27" s="10" t="n"/>
      <c r="D27" s="425" t="n"/>
      <c r="E27" s="10" t="n"/>
      <c r="F27" s="61" t="n"/>
      <c r="G27" s="61" t="n"/>
      <c r="H27" s="10" t="n"/>
      <c r="I27" s="461" t="n"/>
      <c r="J27" s="458" t="n"/>
      <c r="K27" s="459" t="n"/>
      <c r="L27" s="459" t="n"/>
      <c r="M27" s="448">
        <f>SUM(K27:L27)</f>
        <v/>
      </c>
      <c r="N27" s="437" t="n"/>
    </row>
    <row r="28">
      <c r="A28" s="14" t="n"/>
      <c r="B28" s="15" t="n"/>
      <c r="C28" s="10" t="n"/>
      <c r="D28" s="460" t="n"/>
      <c r="E28" s="10" t="n"/>
      <c r="F28" s="61" t="n"/>
      <c r="G28" s="61" t="n"/>
      <c r="H28" s="10" t="n"/>
      <c r="I28" s="461" t="n"/>
      <c r="J28" s="458" t="n"/>
      <c r="K28" s="459" t="n"/>
      <c r="L28" s="459" t="n"/>
      <c r="M28" s="448">
        <f>SUM(K28:L28)</f>
        <v/>
      </c>
      <c r="N28" s="437" t="n"/>
    </row>
    <row r="29">
      <c r="A29" s="14" t="n"/>
      <c r="B29" s="15" t="n"/>
      <c r="C29" s="10" t="n"/>
      <c r="D29" s="460" t="n"/>
      <c r="E29" s="10" t="n"/>
      <c r="F29" s="61" t="n"/>
      <c r="G29" s="61" t="n"/>
      <c r="H29" s="10" t="n"/>
      <c r="I29" s="461" t="n"/>
      <c r="J29" s="458" t="n"/>
      <c r="K29" s="459" t="n"/>
      <c r="L29" s="459" t="n"/>
      <c r="M29" s="448">
        <f>SUM(K29:L29)</f>
        <v/>
      </c>
      <c r="N29" s="437" t="n"/>
    </row>
    <row r="30">
      <c r="A30" s="14" t="n"/>
      <c r="B30" s="15" t="n"/>
      <c r="C30" s="10" t="n"/>
      <c r="D30" s="425" t="n"/>
      <c r="E30" s="10" t="n"/>
      <c r="F30" s="61" t="n"/>
      <c r="G30" s="61" t="n"/>
      <c r="H30" s="10" t="n"/>
      <c r="I30" s="461" t="n"/>
      <c r="J30" s="458" t="n"/>
      <c r="K30" s="459" t="n"/>
      <c r="L30" s="459" t="n"/>
      <c r="M30" s="448">
        <f>SUM(K30:L30)</f>
        <v/>
      </c>
      <c r="N30" s="437" t="n"/>
    </row>
    <row r="31">
      <c r="A31" s="17" t="n"/>
      <c r="B31" s="18" t="n"/>
      <c r="C31" s="10" t="n"/>
      <c r="D31" s="452" t="n"/>
      <c r="E31" s="10" t="n"/>
      <c r="F31" s="61" t="n"/>
      <c r="G31" s="61" t="n"/>
      <c r="H31" s="10" t="n"/>
      <c r="I31" s="461" t="n"/>
      <c r="J31" s="458" t="n"/>
      <c r="K31" s="459" t="n"/>
      <c r="L31" s="459" t="n"/>
      <c r="M31" s="448">
        <f>SUM(K31:L31)</f>
        <v/>
      </c>
      <c r="N31" s="437" t="n"/>
    </row>
    <row r="32">
      <c r="A32" s="17" t="n"/>
      <c r="B32" s="18" t="n"/>
      <c r="C32" s="10" t="n"/>
      <c r="D32" s="452" t="n"/>
      <c r="E32" s="10" t="n"/>
      <c r="F32" s="61" t="n"/>
      <c r="G32" s="61" t="n"/>
      <c r="H32" s="10" t="n"/>
      <c r="I32" s="461" t="n"/>
      <c r="J32" s="458" t="n"/>
      <c r="K32" s="459" t="n"/>
      <c r="L32" s="459" t="n"/>
      <c r="M32" s="448">
        <f>SUM(K32:L32)</f>
        <v/>
      </c>
      <c r="N32" s="437" t="n"/>
    </row>
    <row r="33">
      <c r="A33" s="17" t="n"/>
      <c r="B33" s="18" t="n"/>
      <c r="C33" s="10" t="n"/>
      <c r="D33" s="452" t="n"/>
      <c r="E33" s="10" t="n"/>
      <c r="F33" s="61" t="n"/>
      <c r="G33" s="61" t="n"/>
      <c r="H33" s="10" t="n"/>
      <c r="I33" s="461" t="n"/>
      <c r="J33" s="458" t="n"/>
      <c r="K33" s="459" t="n"/>
      <c r="L33" s="459" t="n"/>
      <c r="M33" s="448">
        <f>SUM(K33:L33)</f>
        <v/>
      </c>
      <c r="N33" s="437" t="n"/>
    </row>
    <row r="34">
      <c r="A34" s="14" t="n"/>
      <c r="B34" s="15" t="n"/>
      <c r="C34" s="10" t="n"/>
      <c r="D34" s="476" t="n"/>
      <c r="E34" s="10" t="n"/>
      <c r="F34" s="61" t="n"/>
      <c r="G34" s="61" t="n"/>
      <c r="H34" s="10" t="n"/>
      <c r="I34" s="461" t="n"/>
      <c r="J34" s="458" t="n"/>
      <c r="K34" s="459" t="n"/>
      <c r="L34" s="459" t="n"/>
      <c r="M34" s="448">
        <f>SUM(K34:L34)</f>
        <v/>
      </c>
      <c r="N34" s="437" t="n"/>
    </row>
    <row r="35">
      <c r="A35" s="14" t="n"/>
      <c r="B35" s="15" t="n"/>
      <c r="C35" s="53" t="n"/>
      <c r="D35" s="476" t="n"/>
      <c r="E35" s="53" t="n"/>
      <c r="F35" s="62" t="n"/>
      <c r="G35" s="62" t="n"/>
      <c r="H35" s="53" t="n"/>
      <c r="I35" s="453" t="n"/>
      <c r="J35" s="455" t="n"/>
      <c r="K35" s="451" t="n"/>
      <c r="L35" s="451" t="n"/>
      <c r="M35" s="448">
        <f>SUM(K35:L35)</f>
        <v/>
      </c>
      <c r="N35" s="437" t="n"/>
    </row>
    <row r="36">
      <c r="A36" s="51" t="n"/>
      <c r="B36" s="62" t="n"/>
      <c r="C36" s="53" t="n"/>
      <c r="D36" s="425" t="n"/>
      <c r="E36" s="53" t="n"/>
      <c r="F36" s="62" t="n"/>
      <c r="G36" s="62" t="n"/>
      <c r="H36" s="53" t="n"/>
      <c r="I36" s="453" t="n"/>
      <c r="J36" s="455" t="n"/>
      <c r="K36" s="451" t="n"/>
      <c r="L36" s="451" t="n"/>
      <c r="M36" s="448">
        <f>SUM(K36:L36)</f>
        <v/>
      </c>
      <c r="N36" s="437" t="n"/>
    </row>
    <row r="37">
      <c r="A37" s="20" t="n"/>
      <c r="B37" s="21" t="n"/>
      <c r="C37" s="22" t="n"/>
      <c r="D37" s="21" t="n"/>
      <c r="E37" s="21" t="n"/>
      <c r="F37" s="21" t="n"/>
      <c r="G37" s="21" t="n"/>
      <c r="H37" s="21" t="n"/>
      <c r="I37" s="465" t="n"/>
      <c r="J37" s="469" t="n"/>
      <c r="K37" s="470" t="n"/>
      <c r="L37" s="470" t="n"/>
      <c r="M37" s="470" t="n"/>
      <c r="N37" s="437" t="n"/>
    </row>
    <row r="38">
      <c r="A38" s="20" t="n"/>
      <c r="B38" s="21" t="n"/>
      <c r="C38" s="22" t="n"/>
      <c r="D38" s="21" t="n"/>
      <c r="E38" s="21" t="n"/>
      <c r="F38" s="21" t="n"/>
      <c r="G38" s="21" t="n"/>
      <c r="H38" s="21" t="n"/>
      <c r="I38" s="465" t="n"/>
      <c r="J38" s="469" t="n"/>
      <c r="K38" s="470" t="n"/>
      <c r="L38" s="470" t="n"/>
      <c r="M38" s="470" t="n"/>
      <c r="N38" s="484" t="n"/>
    </row>
    <row r="39">
      <c r="A39" s="20" t="n"/>
      <c r="B39" s="21" t="n"/>
      <c r="C39" s="22" t="n"/>
      <c r="D39" s="21" t="n"/>
      <c r="E39" s="21" t="n"/>
      <c r="F39" s="21" t="n"/>
      <c r="G39" s="21" t="n"/>
      <c r="H39" s="21" t="n"/>
      <c r="I39" s="465" t="n"/>
      <c r="J39" s="469" t="n"/>
      <c r="K39" s="470" t="n"/>
      <c r="L39" s="470" t="n"/>
      <c r="M39" s="470" t="n"/>
      <c r="N39" s="484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9" t="n"/>
      <c r="K40" s="470" t="n"/>
      <c r="L40" s="470" t="n"/>
      <c r="M40" s="472">
        <f>SUM(M2:M37)</f>
        <v/>
      </c>
      <c r="N40" s="472">
        <f>SUM(N2:N37)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9" t="n"/>
      <c r="K41" s="470" t="n"/>
      <c r="L41" s="470" t="n"/>
      <c r="M41" s="473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9" t="n"/>
      <c r="K42" s="470" t="n"/>
      <c r="L42" s="47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134"/>
  <sheetViews>
    <sheetView zoomScale="60" zoomScaleNormal="60" workbookViewId="0">
      <selection activeCell="A40" sqref="A40:XFD40"/>
    </sheetView>
  </sheetViews>
  <sheetFormatPr baseColWidth="8" defaultColWidth="8.75" defaultRowHeight="15"/>
  <cols>
    <col width="9" customWidth="1" style="29" min="1" max="1"/>
    <col width="10.875" customWidth="1" min="2" max="2"/>
    <col width="56.625" customWidth="1" min="3" max="3"/>
    <col width="25.25" customWidth="1" min="4" max="4"/>
    <col width="9" bestFit="1" customWidth="1" min="5" max="6"/>
    <col width="9.375" customWidth="1" min="7" max="7"/>
    <col width="11.5" bestFit="1" customWidth="1" min="8" max="8"/>
    <col width="9.5" customWidth="1" min="9" max="9"/>
    <col width="42" customWidth="1" style="423" min="10" max="10"/>
    <col width="9" bestFit="1" customWidth="1" style="424" min="11" max="12"/>
    <col width="15.125" customWidth="1" style="424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5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Format="1" customHeight="1" s="112">
      <c r="A2" s="45" t="n"/>
      <c r="B2" s="46" t="n"/>
      <c r="C2" s="93" t="n"/>
      <c r="D2" s="440" t="n"/>
      <c r="E2" s="39" t="n"/>
      <c r="F2" s="40" t="n"/>
      <c r="G2" s="40" t="n"/>
      <c r="H2" s="39" t="n"/>
      <c r="I2" s="438" t="n"/>
      <c r="J2" s="507" t="n"/>
      <c r="K2" s="488" t="n"/>
      <c r="L2" s="489" t="n"/>
      <c r="M2" s="437">
        <f>SUM(K2:L2)</f>
        <v/>
      </c>
      <c r="N2" s="437" t="n"/>
    </row>
    <row r="3" ht="17.25" customFormat="1" customHeight="1" s="112">
      <c r="A3" s="45" t="n"/>
      <c r="B3" s="48" t="n"/>
      <c r="C3" s="93" t="n"/>
      <c r="D3" s="440" t="n"/>
      <c r="E3" s="39" t="n"/>
      <c r="F3" s="40" t="n"/>
      <c r="G3" s="40" t="n"/>
      <c r="H3" s="39" t="n"/>
      <c r="I3" s="438" t="n"/>
      <c r="J3" s="507" t="n"/>
      <c r="K3" s="437" t="n"/>
      <c r="L3" s="436" t="n"/>
      <c r="M3" s="437">
        <f>SUM(K3:L3)</f>
        <v/>
      </c>
      <c r="N3" s="437" t="n"/>
    </row>
    <row r="4" ht="17.25" customFormat="1" customHeight="1" s="112">
      <c r="A4" s="45" t="n"/>
      <c r="B4" s="48" t="n"/>
      <c r="C4" s="158" t="n"/>
      <c r="D4" s="487" t="n"/>
      <c r="E4" s="39" t="n"/>
      <c r="F4" s="40" t="n"/>
      <c r="G4" s="40" t="n"/>
      <c r="H4" s="39" t="n"/>
      <c r="I4" s="438" t="n"/>
      <c r="J4" s="507" t="n"/>
      <c r="K4" s="437" t="n"/>
      <c r="L4" s="436" t="n"/>
      <c r="M4" s="437">
        <f>SUM(K4:L4)</f>
        <v/>
      </c>
      <c r="N4" s="437" t="n"/>
    </row>
    <row r="5" ht="17.25" customFormat="1" customHeight="1" s="112">
      <c r="A5" s="45" t="n"/>
      <c r="B5" s="48" t="n"/>
      <c r="C5" s="158" t="n"/>
      <c r="D5" s="487" t="n"/>
      <c r="E5" s="39" t="n"/>
      <c r="F5" s="40" t="n"/>
      <c r="G5" s="40" t="n"/>
      <c r="H5" s="39" t="n"/>
      <c r="I5" s="438" t="n"/>
      <c r="J5" s="507" t="n"/>
      <c r="K5" s="437" t="n"/>
      <c r="L5" s="436" t="n"/>
      <c r="M5" s="437">
        <f>SUM(K5:L5)</f>
        <v/>
      </c>
      <c r="N5" s="437" t="n"/>
    </row>
    <row r="6" ht="17.25" customFormat="1" customHeight="1" s="6">
      <c r="A6" s="159" t="n"/>
      <c r="B6" s="164" t="n"/>
      <c r="C6" s="167" t="n"/>
      <c r="D6" s="440" t="n"/>
      <c r="E6" s="39" t="n"/>
      <c r="F6" s="40" t="n"/>
      <c r="G6" s="40" t="n"/>
      <c r="H6" s="39" t="n"/>
      <c r="I6" s="438" t="n"/>
      <c r="J6" s="507" t="n"/>
      <c r="K6" s="437" t="n"/>
      <c r="L6" s="436" t="n"/>
      <c r="M6" s="437">
        <f>SUM(K6:L6)</f>
        <v/>
      </c>
      <c r="N6" s="437" t="n"/>
      <c r="P6" s="112" t="n"/>
    </row>
    <row r="7" ht="17.25" customFormat="1" customHeight="1" s="6">
      <c r="A7" s="45" t="n"/>
      <c r="B7" s="92" t="n"/>
      <c r="C7" s="101" t="n"/>
      <c r="D7" s="440" t="n"/>
      <c r="E7" s="39" t="n"/>
      <c r="F7" s="40" t="n"/>
      <c r="G7" s="40" t="n"/>
      <c r="H7" s="39" t="n"/>
      <c r="I7" s="438" t="n"/>
      <c r="J7" s="507" t="n"/>
      <c r="K7" s="488" t="n"/>
      <c r="L7" s="489" t="n"/>
      <c r="M7" s="437">
        <f>SUM(K7:L7)</f>
        <v/>
      </c>
      <c r="N7" s="437" t="n"/>
      <c r="P7" s="112" t="n"/>
    </row>
    <row r="8" ht="17.25" customHeight="1">
      <c r="A8" s="45" t="n"/>
      <c r="B8" s="92" t="n"/>
      <c r="C8" s="101" t="n"/>
      <c r="D8" s="440" t="n"/>
      <c r="E8" s="39" t="n"/>
      <c r="F8" s="40" t="n"/>
      <c r="G8" s="40" t="n"/>
      <c r="H8" s="449" t="n"/>
      <c r="I8" s="438" t="n"/>
      <c r="J8" s="507" t="n"/>
      <c r="K8" s="437" t="n"/>
      <c r="L8" s="436" t="n"/>
      <c r="M8" s="437">
        <f>SUM(K8:L8)</f>
        <v/>
      </c>
      <c r="N8" s="437" t="n"/>
      <c r="P8" s="112" t="n"/>
    </row>
    <row r="9" ht="17.25" customHeight="1">
      <c r="A9" s="316" t="n"/>
      <c r="B9" s="164" t="n"/>
      <c r="C9" s="167" t="n"/>
      <c r="D9" s="440" t="n"/>
      <c r="E9" s="39" t="n"/>
      <c r="F9" s="285" t="n"/>
      <c r="G9" s="285" t="n"/>
      <c r="H9" s="286" t="n"/>
      <c r="I9" s="504" t="n"/>
      <c r="J9" s="507" t="n"/>
      <c r="K9" s="490" t="n"/>
      <c r="L9" s="506" t="n"/>
      <c r="M9" s="437">
        <f>SUM(K9:L9)</f>
        <v/>
      </c>
      <c r="N9" s="437" t="n"/>
      <c r="P9" s="112" t="n"/>
    </row>
    <row r="10" ht="17.25" customHeight="1">
      <c r="A10" s="51" t="n"/>
      <c r="B10" s="52" t="n"/>
      <c r="C10" s="53" t="n"/>
      <c r="D10" s="440" t="n"/>
      <c r="E10" s="53" t="n"/>
      <c r="F10" s="54" t="n"/>
      <c r="G10" s="54" t="n"/>
      <c r="H10" s="53" t="n"/>
      <c r="I10" s="453" t="n"/>
      <c r="J10" s="507" t="n"/>
      <c r="K10" s="451" t="n"/>
      <c r="L10" s="478" t="n"/>
      <c r="M10" s="448">
        <f>SUM(K10:L10)</f>
        <v/>
      </c>
      <c r="N10" s="437" t="n"/>
      <c r="P10" s="112" t="n"/>
    </row>
    <row r="11" ht="17.25" customHeight="1">
      <c r="A11" s="1" t="n"/>
      <c r="B11" s="52" t="n"/>
      <c r="C11" s="53" t="n"/>
      <c r="D11" s="440" t="n"/>
      <c r="E11" s="53" t="n"/>
      <c r="F11" s="54" t="n"/>
      <c r="G11" s="54" t="n"/>
      <c r="H11" s="53" t="n"/>
      <c r="I11" s="453" t="n"/>
      <c r="J11" s="507" t="n"/>
      <c r="K11" s="451" t="n"/>
      <c r="L11" s="478" t="n"/>
      <c r="M11" s="448">
        <f>SUM(K11:L11)</f>
        <v/>
      </c>
      <c r="N11" s="437" t="n"/>
    </row>
    <row r="12" ht="17.25" customFormat="1" customHeight="1" s="6">
      <c r="A12" s="368" t="n"/>
      <c r="B12" s="52" t="n"/>
      <c r="C12" s="53" t="n"/>
      <c r="D12" s="452" t="n"/>
      <c r="E12" s="53" t="n"/>
      <c r="F12" s="54" t="n"/>
      <c r="G12" s="54" t="n"/>
      <c r="H12" s="457" t="n"/>
      <c r="I12" s="453" t="n"/>
      <c r="J12" s="507" t="n"/>
      <c r="K12" s="451" t="n"/>
      <c r="L12" s="478" t="n"/>
      <c r="M12" s="448">
        <f>SUM(K12:L12)</f>
        <v/>
      </c>
      <c r="N12" s="437" t="n"/>
    </row>
    <row r="13" ht="17.25" customFormat="1" customHeight="1" s="6">
      <c r="A13" s="59" t="n"/>
      <c r="B13" s="52" t="n"/>
      <c r="C13" s="53" t="n"/>
      <c r="D13" s="452" t="n"/>
      <c r="E13" s="53" t="n"/>
      <c r="F13" s="54" t="n"/>
      <c r="G13" s="54" t="n"/>
      <c r="H13" s="53" t="n"/>
      <c r="I13" s="453" t="n"/>
      <c r="J13" s="455" t="n"/>
      <c r="K13" s="451" t="n"/>
      <c r="L13" s="478" t="n"/>
      <c r="M13" s="448">
        <f>SUM(K13:L13)</f>
        <v/>
      </c>
      <c r="N13" s="437" t="n"/>
    </row>
    <row r="14" ht="17.25" customHeight="1">
      <c r="A14" s="45" t="n"/>
      <c r="B14" s="48" t="n"/>
      <c r="C14" s="39" t="n"/>
      <c r="D14" s="440" t="n"/>
      <c r="E14" s="39" t="n"/>
      <c r="F14" s="40" t="n"/>
      <c r="G14" s="40" t="n"/>
      <c r="H14" s="39" t="n"/>
      <c r="I14" s="438" t="n"/>
      <c r="J14" s="441" t="n"/>
      <c r="K14" s="437" t="n"/>
      <c r="L14" s="436" t="n"/>
      <c r="M14" s="448">
        <f>SUM(K14:L14)</f>
        <v/>
      </c>
      <c r="N14" s="437" t="n"/>
    </row>
    <row r="15" ht="17.25" customHeight="1">
      <c r="A15" s="45" t="n"/>
      <c r="B15" s="46" t="n"/>
      <c r="C15" s="39" t="n"/>
      <c r="D15" s="454" t="n"/>
      <c r="E15" s="39" t="n"/>
      <c r="F15" s="40" t="n"/>
      <c r="G15" s="40" t="n"/>
      <c r="H15" s="39" t="n"/>
      <c r="I15" s="438" t="n"/>
      <c r="J15" s="441" t="n"/>
      <c r="K15" s="437" t="n"/>
      <c r="L15" s="436" t="n"/>
      <c r="M15" s="448">
        <f>SUM(K15:L15)</f>
        <v/>
      </c>
      <c r="N15" s="437" t="n"/>
    </row>
    <row r="16" ht="17.25" customHeight="1">
      <c r="A16" s="47" t="n"/>
      <c r="B16" s="48" t="n"/>
      <c r="C16" s="39" t="n"/>
      <c r="D16" s="454" t="n"/>
      <c r="E16" s="39" t="n"/>
      <c r="F16" s="40" t="n"/>
      <c r="G16" s="40" t="n"/>
      <c r="H16" s="39" t="n"/>
      <c r="I16" s="438" t="n"/>
      <c r="J16" s="441" t="n"/>
      <c r="K16" s="437" t="n"/>
      <c r="L16" s="436" t="n"/>
      <c r="M16" s="448">
        <f>SUM(K16:L16)</f>
        <v/>
      </c>
      <c r="N16" s="437" t="n"/>
    </row>
    <row r="17" ht="17.25" customHeight="1">
      <c r="A17" s="45" t="n"/>
      <c r="B17" s="46" t="n"/>
      <c r="C17" s="39" t="n"/>
      <c r="D17" s="440" t="n"/>
      <c r="E17" s="39" t="n"/>
      <c r="F17" s="40" t="n"/>
      <c r="G17" s="40" t="n"/>
      <c r="H17" s="39" t="n"/>
      <c r="I17" s="438" t="n"/>
      <c r="J17" s="441" t="n"/>
      <c r="K17" s="437" t="n"/>
      <c r="L17" s="437" t="n"/>
      <c r="M17" s="448">
        <f>SUM(K17:L17)</f>
        <v/>
      </c>
      <c r="N17" s="437" t="n"/>
    </row>
    <row r="18" ht="17.25" customHeight="1">
      <c r="A18" s="1" t="n"/>
      <c r="B18" s="8" t="n"/>
      <c r="C18" s="53" t="n"/>
      <c r="D18" s="425" t="n"/>
      <c r="E18" s="53" t="n"/>
      <c r="F18" s="61" t="n"/>
      <c r="G18" s="61" t="n"/>
      <c r="H18" s="53" t="n"/>
      <c r="I18" s="453" t="n"/>
      <c r="J18" s="455" t="n"/>
      <c r="K18" s="451" t="n"/>
      <c r="L18" s="451" t="n"/>
      <c r="M18" s="448">
        <f>SUM(K18:L18)</f>
        <v/>
      </c>
      <c r="N18" s="437" t="n"/>
    </row>
    <row r="19" ht="17.25" customHeight="1">
      <c r="A19" s="51" t="n"/>
      <c r="B19" s="62" t="n"/>
      <c r="C19" s="53" t="n"/>
      <c r="D19" s="425" t="n"/>
      <c r="E19" s="53" t="n"/>
      <c r="F19" s="61" t="n"/>
      <c r="G19" s="61" t="n"/>
      <c r="H19" s="53" t="n"/>
      <c r="I19" s="453" t="n"/>
      <c r="J19" s="455" t="n"/>
      <c r="K19" s="451" t="n"/>
      <c r="L19" s="451" t="n"/>
      <c r="M19" s="448">
        <f>SUM(K19:L19)</f>
        <v/>
      </c>
      <c r="N19" s="437" t="n"/>
    </row>
    <row r="20" ht="17.25" customHeight="1">
      <c r="A20" s="51" t="n"/>
      <c r="B20" s="62" t="n"/>
      <c r="C20" s="53" t="n"/>
      <c r="D20" s="425" t="n"/>
      <c r="E20" s="53" t="n"/>
      <c r="F20" s="61" t="n"/>
      <c r="G20" s="61" t="n"/>
      <c r="H20" s="53" t="n"/>
      <c r="I20" s="453" t="n"/>
      <c r="J20" s="455" t="n"/>
      <c r="K20" s="451" t="n"/>
      <c r="L20" s="451" t="n"/>
      <c r="M20" s="448">
        <f>SUM(K20:L20)</f>
        <v/>
      </c>
      <c r="N20" s="437" t="n"/>
    </row>
    <row r="21" ht="17.25" customHeight="1">
      <c r="A21" s="51" t="n"/>
      <c r="B21" s="62" t="n"/>
      <c r="C21" s="53" t="n"/>
      <c r="D21" s="425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48">
        <f>SUM(K21:L21)</f>
        <v/>
      </c>
      <c r="N21" s="437" t="n"/>
    </row>
    <row r="22" ht="17.25" customHeight="1">
      <c r="A22" s="51" t="n"/>
      <c r="B22" s="62" t="n"/>
      <c r="C22" s="53" t="n"/>
      <c r="D22" s="425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48">
        <f>SUM(K22:L22)</f>
        <v/>
      </c>
      <c r="N22" s="437" t="n"/>
    </row>
    <row r="23" ht="17.25" customHeight="1">
      <c r="A23" s="51" t="n"/>
      <c r="B23" s="62" t="n"/>
      <c r="C23" s="53" t="n"/>
      <c r="D23" s="456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48">
        <f>SUM(K23:L23)</f>
        <v/>
      </c>
      <c r="N23" s="437" t="n"/>
    </row>
    <row r="24" ht="17.25" customHeight="1">
      <c r="A24" s="51" t="n"/>
      <c r="B24" s="62" t="n"/>
      <c r="C24" s="53" t="n"/>
      <c r="D24" s="53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48">
        <f>SUM(K24:L24)</f>
        <v/>
      </c>
      <c r="N24" s="437" t="n"/>
    </row>
    <row r="25" ht="17.25" customHeight="1">
      <c r="A25" s="51" t="n"/>
      <c r="B25" s="62" t="n"/>
      <c r="C25" s="53" t="n"/>
      <c r="D25" s="425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48">
        <f>SUM(K25:L25)</f>
        <v/>
      </c>
      <c r="N25" s="437" t="n"/>
    </row>
    <row r="26" ht="17.25" customHeight="1">
      <c r="A26" s="51" t="n"/>
      <c r="B26" s="62" t="n"/>
      <c r="C26" s="53" t="n"/>
      <c r="D26" s="425" t="n"/>
      <c r="E26" s="53" t="n"/>
      <c r="F26" s="61" t="n"/>
      <c r="G26" s="61" t="n"/>
      <c r="H26" s="53" t="n"/>
      <c r="I26" s="453" t="n"/>
      <c r="J26" s="455" t="n"/>
      <c r="K26" s="451" t="n"/>
      <c r="L26" s="451" t="n"/>
      <c r="M26" s="448">
        <f>SUM(K26:L26)</f>
        <v/>
      </c>
      <c r="N26" s="437" t="n"/>
    </row>
    <row r="27" ht="17.25" customHeight="1">
      <c r="A27" s="51" t="n"/>
      <c r="B27" s="62" t="n"/>
      <c r="C27" s="53" t="n"/>
      <c r="D27" s="456" t="n"/>
      <c r="E27" s="53" t="n"/>
      <c r="F27" s="61" t="n"/>
      <c r="G27" s="61" t="n"/>
      <c r="H27" s="53" t="n"/>
      <c r="I27" s="453" t="n"/>
      <c r="J27" s="455" t="n"/>
      <c r="K27" s="451" t="n"/>
      <c r="L27" s="451" t="n"/>
      <c r="M27" s="448">
        <f>SUM(K27:L27)</f>
        <v/>
      </c>
      <c r="N27" s="437" t="n"/>
    </row>
    <row r="28">
      <c r="A28" s="51" t="n"/>
      <c r="B28" s="62" t="n"/>
      <c r="C28" s="53" t="n"/>
      <c r="D28" s="53" t="n"/>
      <c r="E28" s="53" t="n"/>
      <c r="F28" s="61" t="n"/>
      <c r="G28" s="61" t="n"/>
      <c r="H28" s="53" t="n"/>
      <c r="I28" s="453" t="n"/>
      <c r="J28" s="455" t="n"/>
      <c r="K28" s="451" t="n"/>
      <c r="L28" s="451" t="n"/>
      <c r="M28" s="448">
        <f>SUM(K28:L28)</f>
        <v/>
      </c>
      <c r="N28" s="437" t="n"/>
    </row>
    <row r="29">
      <c r="A29" s="51" t="n"/>
      <c r="B29" s="62" t="n"/>
      <c r="C29" s="53" t="n"/>
      <c r="D29" s="425" t="n"/>
      <c r="E29" s="53" t="n"/>
      <c r="F29" s="61" t="n"/>
      <c r="G29" s="61" t="n"/>
      <c r="H29" s="53" t="n"/>
      <c r="I29" s="453" t="n"/>
      <c r="J29" s="455" t="n"/>
      <c r="K29" s="451" t="n"/>
      <c r="L29" s="451" t="n"/>
      <c r="M29" s="448">
        <f>SUM(K29:L29)</f>
        <v/>
      </c>
      <c r="N29" s="437" t="n"/>
    </row>
    <row r="30">
      <c r="A30" s="51" t="n"/>
      <c r="B30" s="62" t="n"/>
      <c r="C30" s="53" t="n"/>
      <c r="D30" s="476" t="n"/>
      <c r="E30" s="53" t="n"/>
      <c r="F30" s="61" t="n"/>
      <c r="G30" s="61" t="n"/>
      <c r="H30" s="53" t="n"/>
      <c r="I30" s="453" t="n"/>
      <c r="J30" s="455" t="n"/>
      <c r="K30" s="451" t="n"/>
      <c r="L30" s="451" t="n"/>
      <c r="M30" s="448">
        <f>SUM(K30:L30)</f>
        <v/>
      </c>
      <c r="N30" s="437" t="n"/>
    </row>
    <row r="31">
      <c r="A31" s="51" t="n"/>
      <c r="B31" s="62" t="n"/>
      <c r="C31" s="53" t="n"/>
      <c r="D31" s="425" t="n"/>
      <c r="E31" s="53" t="n"/>
      <c r="F31" s="61" t="n"/>
      <c r="G31" s="61" t="n"/>
      <c r="H31" s="53" t="n"/>
      <c r="I31" s="453" t="n"/>
      <c r="J31" s="455" t="n"/>
      <c r="K31" s="451" t="n"/>
      <c r="L31" s="451" t="n"/>
      <c r="M31" s="448">
        <f>SUM(K31:L31)</f>
        <v/>
      </c>
      <c r="N31" s="437" t="n"/>
    </row>
    <row r="32">
      <c r="A32" s="51" t="n"/>
      <c r="B32" s="62" t="n"/>
      <c r="C32" s="53" t="n"/>
      <c r="D32" s="9" t="n"/>
      <c r="E32" s="53" t="n"/>
      <c r="F32" s="61" t="n"/>
      <c r="G32" s="61" t="n"/>
      <c r="H32" s="53" t="n"/>
      <c r="I32" s="453" t="n"/>
      <c r="J32" s="455" t="n"/>
      <c r="K32" s="451" t="n"/>
      <c r="L32" s="451" t="n"/>
      <c r="M32" s="448">
        <f>SUM(K32:L32)</f>
        <v/>
      </c>
      <c r="N32" s="437" t="n"/>
    </row>
    <row r="33">
      <c r="A33" s="51" t="n"/>
      <c r="B33" s="62" t="n"/>
      <c r="C33" s="53" t="n"/>
      <c r="D33" s="425" t="n"/>
      <c r="E33" s="53" t="n"/>
      <c r="F33" s="61" t="n"/>
      <c r="G33" s="61" t="n"/>
      <c r="H33" s="53" t="n"/>
      <c r="I33" s="453" t="n"/>
      <c r="J33" s="455" t="n"/>
      <c r="K33" s="451" t="n"/>
      <c r="L33" s="451" t="n"/>
      <c r="M33" s="448">
        <f>SUM(K33:L33)</f>
        <v/>
      </c>
      <c r="N33" s="437" t="n"/>
    </row>
    <row r="34">
      <c r="A34" s="51" t="n"/>
      <c r="B34" s="62" t="n"/>
      <c r="C34" s="53" t="n"/>
      <c r="D34" s="425" t="n"/>
      <c r="E34" s="53" t="n"/>
      <c r="F34" s="61" t="n"/>
      <c r="G34" s="61" t="n"/>
      <c r="H34" s="53" t="n"/>
      <c r="I34" s="453" t="n"/>
      <c r="J34" s="455" t="n"/>
      <c r="K34" s="451" t="n"/>
      <c r="L34" s="451" t="n"/>
      <c r="M34" s="448">
        <f>SUM(K34:L34)</f>
        <v/>
      </c>
      <c r="N34" s="437" t="n"/>
    </row>
    <row r="35">
      <c r="A35" s="51" t="n"/>
      <c r="B35" s="62" t="n"/>
      <c r="C35" s="53" t="n"/>
      <c r="D35" s="456" t="n"/>
      <c r="E35" s="10" t="n"/>
      <c r="F35" s="61" t="n"/>
      <c r="G35" s="61" t="n"/>
      <c r="H35" s="10" t="n"/>
      <c r="I35" s="461" t="n"/>
      <c r="J35" s="458" t="n"/>
      <c r="K35" s="459" t="n"/>
      <c r="L35" s="459" t="n"/>
      <c r="M35" s="448">
        <f>SUM(K35:L35)</f>
        <v/>
      </c>
      <c r="N35" s="437" t="n"/>
    </row>
    <row r="36">
      <c r="A36" s="14" t="n"/>
      <c r="B36" s="15" t="n"/>
      <c r="C36" s="10" t="n"/>
      <c r="D36" s="425" t="n"/>
      <c r="E36" s="10" t="n"/>
      <c r="F36" s="61" t="n"/>
      <c r="G36" s="61" t="n"/>
      <c r="H36" s="10" t="n"/>
      <c r="I36" s="461" t="n"/>
      <c r="J36" s="458" t="n"/>
      <c r="K36" s="459" t="n"/>
      <c r="L36" s="459" t="n"/>
      <c r="M36" s="448">
        <f>SUM(K36:L36)</f>
        <v/>
      </c>
      <c r="N36" s="437" t="n"/>
    </row>
    <row r="37">
      <c r="A37" s="14" t="n"/>
      <c r="B37" s="15" t="n"/>
      <c r="C37" s="10" t="n"/>
      <c r="D37" s="460" t="n"/>
      <c r="E37" s="10" t="n"/>
      <c r="F37" s="61" t="n"/>
      <c r="G37" s="61" t="n"/>
      <c r="H37" s="10" t="n"/>
      <c r="I37" s="461" t="n"/>
      <c r="J37" s="458" t="n"/>
      <c r="K37" s="459" t="n"/>
      <c r="L37" s="459" t="n"/>
      <c r="M37" s="448">
        <f>SUM(K37:L37)</f>
        <v/>
      </c>
      <c r="N37" s="437" t="n"/>
    </row>
    <row r="38">
      <c r="A38" s="14" t="n"/>
      <c r="B38" s="15" t="n"/>
      <c r="C38" s="10" t="n"/>
      <c r="D38" s="460" t="n"/>
      <c r="E38" s="10" t="n"/>
      <c r="F38" s="61" t="n"/>
      <c r="G38" s="61" t="n"/>
      <c r="H38" s="10" t="n"/>
      <c r="I38" s="461" t="n"/>
      <c r="J38" s="458" t="n"/>
      <c r="K38" s="459" t="n"/>
      <c r="L38" s="459" t="n"/>
      <c r="M38" s="448">
        <f>SUM(K38:L38)</f>
        <v/>
      </c>
      <c r="N38" s="437" t="n"/>
    </row>
    <row r="39">
      <c r="A39" s="20" t="n"/>
      <c r="B39" s="21" t="n"/>
      <c r="C39" s="22" t="n"/>
      <c r="D39" s="21" t="n"/>
      <c r="E39" s="21" t="n"/>
      <c r="F39" s="21" t="n"/>
      <c r="G39" s="21" t="n"/>
      <c r="H39" s="21" t="n"/>
      <c r="I39" s="465" t="n"/>
      <c r="J39" s="469" t="n"/>
      <c r="K39" s="470" t="n"/>
      <c r="L39" s="470" t="n"/>
      <c r="M39" s="470" t="n"/>
      <c r="N39" s="437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9" t="n"/>
      <c r="K40" s="470" t="n"/>
      <c r="L40" s="470" t="n"/>
      <c r="M40" s="472">
        <f>SUM(M2:M39)</f>
        <v/>
      </c>
      <c r="N40" s="472">
        <f>SUM(N2:N39)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9" t="n"/>
      <c r="K41" s="470" t="n"/>
      <c r="L41" s="470" t="n"/>
      <c r="M41" s="473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9" t="n"/>
      <c r="K42" s="470" t="n"/>
      <c r="L42" s="47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pageMargins left="0.7" right="0.7" top="0.75" bottom="0.75" header="0.3" footer="0.3"/>
  <pageSetup orientation="portrait" paperSize="9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134"/>
  <sheetViews>
    <sheetView zoomScale="65" zoomScaleNormal="65" workbookViewId="0">
      <selection activeCell="A40" sqref="A40"/>
    </sheetView>
  </sheetViews>
  <sheetFormatPr baseColWidth="8" defaultColWidth="8.75" defaultRowHeight="15"/>
  <cols>
    <col width="9" customWidth="1" style="29" min="1" max="1"/>
    <col width="9" customWidth="1" min="2" max="2"/>
    <col width="56.625" customWidth="1" min="3" max="3"/>
    <col width="25.25" customWidth="1" min="4" max="4"/>
    <col width="9" bestFit="1" customWidth="1" min="5" max="7"/>
    <col width="11.5" bestFit="1" customWidth="1" min="8" max="8"/>
    <col width="9.5" customWidth="1" min="9" max="9"/>
    <col width="36.25" customWidth="1" style="423" min="10" max="10"/>
    <col width="9" bestFit="1" customWidth="1" style="424" min="11" max="12"/>
    <col width="15.125" customWidth="1" style="424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5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Format="1" customHeight="1" s="112">
      <c r="A2" s="316" t="n"/>
      <c r="B2" s="164" t="n"/>
      <c r="C2" s="167" t="n"/>
      <c r="D2" s="487" t="n"/>
      <c r="E2" s="165" t="n"/>
      <c r="F2" s="166" t="n"/>
      <c r="G2" s="166" t="n"/>
      <c r="H2" s="165" t="n"/>
      <c r="I2" s="446" t="n"/>
      <c r="J2" s="485" t="n"/>
      <c r="K2" s="448" t="n"/>
      <c r="L2" s="477" t="n"/>
      <c r="M2" s="437">
        <f>SUM(K2:L2)</f>
        <v/>
      </c>
      <c r="N2" s="437" t="n"/>
    </row>
    <row r="3" ht="17.25" customFormat="1" customHeight="1" s="112">
      <c r="A3" s="45" t="n"/>
      <c r="B3" s="48" t="n"/>
      <c r="C3" s="93" t="n"/>
      <c r="D3" s="440" t="n"/>
      <c r="E3" s="39" t="n"/>
      <c r="F3" s="40" t="n"/>
      <c r="G3" s="40" t="n"/>
      <c r="H3" s="39" t="n"/>
      <c r="I3" s="438" t="n"/>
      <c r="J3" s="284" t="n"/>
      <c r="K3" s="488" t="n"/>
      <c r="L3" s="489" t="n"/>
      <c r="M3" s="437">
        <f>SUM(K3:L3)</f>
        <v/>
      </c>
      <c r="N3" s="437" t="n"/>
    </row>
    <row r="4" ht="17.25" customFormat="1" customHeight="1" s="112">
      <c r="A4" s="45" t="n"/>
      <c r="B4" s="48" t="n"/>
      <c r="C4" s="93" t="n"/>
      <c r="D4" s="440" t="n"/>
      <c r="E4" s="39" t="n"/>
      <c r="F4" s="40" t="n"/>
      <c r="G4" s="40" t="n"/>
      <c r="H4" s="39" t="n"/>
      <c r="I4" s="438" t="n"/>
      <c r="J4" s="441" t="n"/>
      <c r="K4" s="437" t="n"/>
      <c r="L4" s="436" t="n"/>
      <c r="M4" s="437">
        <f>SUM(K4:L4)</f>
        <v/>
      </c>
      <c r="N4" s="437" t="n"/>
    </row>
    <row r="5" ht="17.25" customFormat="1" customHeight="1" s="112">
      <c r="A5" s="45" t="n"/>
      <c r="B5" s="48" t="n"/>
      <c r="C5" s="93" t="n"/>
      <c r="D5" s="487" t="n"/>
      <c r="E5" s="165" t="n"/>
      <c r="F5" s="166" t="n"/>
      <c r="G5" s="166" t="n"/>
      <c r="H5" s="495" t="n"/>
      <c r="I5" s="446" t="n"/>
      <c r="J5" s="485" t="n"/>
      <c r="K5" s="448" t="n"/>
      <c r="L5" s="477" t="n"/>
      <c r="M5" s="437">
        <f>SUM(K5:L5)</f>
        <v/>
      </c>
      <c r="N5" s="437" t="n"/>
    </row>
    <row r="6" ht="17.25" customFormat="1" customHeight="1" s="112">
      <c r="A6" s="316" t="n"/>
      <c r="B6" s="174" t="n"/>
      <c r="C6" s="165" t="n"/>
      <c r="D6" s="440" t="n"/>
      <c r="E6" s="39" t="n"/>
      <c r="F6" s="40" t="n"/>
      <c r="G6" s="40" t="n"/>
      <c r="H6" s="39" t="n"/>
      <c r="I6" s="438" t="n"/>
      <c r="J6" s="441" t="n"/>
      <c r="K6" s="437" t="n"/>
      <c r="L6" s="436" t="n"/>
      <c r="M6" s="437">
        <f>SUM(K6:L6)</f>
        <v/>
      </c>
      <c r="N6" s="437" t="n"/>
    </row>
    <row r="7" ht="17.25" customFormat="1" customHeight="1" s="112">
      <c r="A7" s="45" t="n"/>
      <c r="B7" s="46" t="n"/>
      <c r="C7" s="39" t="n"/>
      <c r="D7" s="440" t="n"/>
      <c r="E7" s="39" t="n"/>
      <c r="F7" s="40" t="n"/>
      <c r="G7" s="40" t="n"/>
      <c r="H7" s="449" t="n"/>
      <c r="I7" s="438" t="n"/>
      <c r="J7" s="485" t="n"/>
      <c r="K7" s="437" t="n"/>
      <c r="L7" s="436" t="n"/>
      <c r="M7" s="437">
        <f>SUM(K7:L7)</f>
        <v/>
      </c>
      <c r="N7" s="437" t="n"/>
    </row>
    <row r="8" ht="17.25" customFormat="1" customHeight="1" s="112">
      <c r="A8" s="45" t="n"/>
      <c r="B8" s="46" t="n"/>
      <c r="C8" s="39" t="n"/>
      <c r="D8" s="440" t="n"/>
      <c r="E8" s="39" t="n"/>
      <c r="F8" s="40" t="n"/>
      <c r="G8" s="40" t="n"/>
      <c r="H8" s="449" t="n"/>
      <c r="I8" s="438" t="n"/>
      <c r="J8" s="485" t="n"/>
      <c r="K8" s="437" t="n"/>
      <c r="L8" s="436" t="n"/>
      <c r="M8" s="437">
        <f>SUM(K8:L8)</f>
        <v/>
      </c>
      <c r="N8" s="437" t="n"/>
    </row>
    <row r="9" ht="17.25" customFormat="1" customHeight="1" s="112">
      <c r="A9" s="47" t="n"/>
      <c r="B9" s="48" t="n"/>
      <c r="C9" s="39" t="n"/>
      <c r="D9" s="440" t="n"/>
      <c r="E9" s="39" t="n"/>
      <c r="F9" s="40" t="n"/>
      <c r="G9" s="40" t="n"/>
      <c r="H9" s="39" t="n"/>
      <c r="I9" s="438" t="n"/>
      <c r="J9" s="441" t="n"/>
      <c r="K9" s="437" t="n"/>
      <c r="L9" s="436" t="n"/>
      <c r="M9" s="437">
        <f>SUM(K9:L9)</f>
        <v/>
      </c>
      <c r="N9" s="437" t="n"/>
    </row>
    <row r="10" ht="17.25" customFormat="1" customHeight="1" s="112">
      <c r="A10" s="45" t="n"/>
      <c r="B10" s="48" t="n"/>
      <c r="C10" s="39" t="n"/>
      <c r="D10" s="440" t="n"/>
      <c r="E10" s="39" t="n"/>
      <c r="F10" s="40" t="n"/>
      <c r="G10" s="40" t="n"/>
      <c r="H10" s="39" t="n"/>
      <c r="I10" s="438" t="n"/>
      <c r="J10" s="441" t="n"/>
      <c r="K10" s="437" t="n"/>
      <c r="L10" s="436" t="n"/>
      <c r="M10" s="437">
        <f>SUM(K10:L10)</f>
        <v/>
      </c>
      <c r="N10" s="437" t="n"/>
    </row>
    <row r="11" ht="17.25" customFormat="1" customHeight="1" s="112">
      <c r="A11" s="91" t="n"/>
      <c r="B11" s="48" t="n"/>
      <c r="C11" s="39" t="n"/>
      <c r="D11" s="440" t="n"/>
      <c r="E11" s="39" t="n"/>
      <c r="F11" s="40" t="n"/>
      <c r="G11" s="40" t="n"/>
      <c r="H11" s="39" t="n"/>
      <c r="I11" s="438" t="n"/>
      <c r="J11" s="441" t="n"/>
      <c r="K11" s="437" t="n"/>
      <c r="L11" s="436" t="n"/>
      <c r="M11" s="437">
        <f>SUM(K11:L11)</f>
        <v/>
      </c>
      <c r="N11" s="437" t="n"/>
    </row>
    <row r="12" ht="17.25" customFormat="1" customHeight="1" s="6">
      <c r="A12" s="51" t="n"/>
      <c r="B12" s="52" t="n"/>
      <c r="C12" s="53" t="n"/>
      <c r="D12" s="452" t="n"/>
      <c r="E12" s="53" t="n"/>
      <c r="F12" s="54" t="n"/>
      <c r="G12" s="54" t="n"/>
      <c r="H12" s="457" t="n"/>
      <c r="I12" s="453" t="n"/>
      <c r="J12" s="455" t="n"/>
      <c r="K12" s="451" t="n"/>
      <c r="L12" s="478" t="n"/>
      <c r="M12" s="448">
        <f>SUM(K12:L12)</f>
        <v/>
      </c>
      <c r="N12" s="437" t="n"/>
    </row>
    <row r="13" ht="17.25" customFormat="1" customHeight="1" s="6">
      <c r="A13" s="59" t="n"/>
      <c r="B13" s="52" t="n"/>
      <c r="C13" s="53" t="n"/>
      <c r="D13" s="452" t="n"/>
      <c r="E13" s="53" t="n"/>
      <c r="F13" s="54" t="n"/>
      <c r="G13" s="54" t="n"/>
      <c r="H13" s="53" t="n"/>
      <c r="I13" s="453" t="n"/>
      <c r="J13" s="455" t="n"/>
      <c r="K13" s="451" t="n"/>
      <c r="L13" s="478" t="n"/>
      <c r="M13" s="448">
        <f>SUM(K13:L13)</f>
        <v/>
      </c>
      <c r="N13" s="437" t="n"/>
    </row>
    <row r="14" ht="17.25" customHeight="1">
      <c r="A14" s="45" t="n"/>
      <c r="B14" s="48" t="n"/>
      <c r="C14" s="39" t="n"/>
      <c r="D14" s="440" t="n"/>
      <c r="E14" s="39" t="n"/>
      <c r="F14" s="40" t="n"/>
      <c r="G14" s="40" t="n"/>
      <c r="H14" s="39" t="n"/>
      <c r="I14" s="438" t="n"/>
      <c r="J14" s="441" t="n"/>
      <c r="K14" s="437" t="n"/>
      <c r="L14" s="436" t="n"/>
      <c r="M14" s="448">
        <f>SUM(K14:L14)</f>
        <v/>
      </c>
      <c r="N14" s="437" t="n"/>
    </row>
    <row r="15" ht="17.25" customHeight="1">
      <c r="A15" s="45" t="n"/>
      <c r="B15" s="46" t="n"/>
      <c r="C15" s="39" t="n"/>
      <c r="D15" s="454" t="n"/>
      <c r="E15" s="39" t="n"/>
      <c r="F15" s="40" t="n"/>
      <c r="G15" s="40" t="n"/>
      <c r="H15" s="39" t="n"/>
      <c r="I15" s="438" t="n"/>
      <c r="J15" s="441" t="n"/>
      <c r="K15" s="437" t="n"/>
      <c r="L15" s="436" t="n"/>
      <c r="M15" s="448">
        <f>SUM(K15:L15)</f>
        <v/>
      </c>
      <c r="N15" s="437" t="n"/>
    </row>
    <row r="16" ht="17.25" customHeight="1">
      <c r="A16" s="47" t="n"/>
      <c r="B16" s="48" t="n"/>
      <c r="C16" s="39" t="n"/>
      <c r="D16" s="454" t="n"/>
      <c r="E16" s="39" t="n"/>
      <c r="F16" s="40" t="n"/>
      <c r="G16" s="40" t="n"/>
      <c r="H16" s="39" t="n"/>
      <c r="I16" s="438" t="n"/>
      <c r="J16" s="441" t="n"/>
      <c r="K16" s="437" t="n"/>
      <c r="L16" s="436" t="n"/>
      <c r="M16" s="448">
        <f>SUM(K16:L16)</f>
        <v/>
      </c>
      <c r="N16" s="437" t="n"/>
    </row>
    <row r="17" ht="17.25" customHeight="1">
      <c r="A17" s="45" t="n"/>
      <c r="B17" s="46" t="n"/>
      <c r="C17" s="39" t="n"/>
      <c r="D17" s="440" t="n"/>
      <c r="E17" s="39" t="n"/>
      <c r="F17" s="40" t="n"/>
      <c r="G17" s="40" t="n"/>
      <c r="H17" s="39" t="n"/>
      <c r="I17" s="438" t="n"/>
      <c r="J17" s="441" t="n"/>
      <c r="K17" s="437" t="n"/>
      <c r="L17" s="437" t="n"/>
      <c r="M17" s="448">
        <f>SUM(K17:L17)</f>
        <v/>
      </c>
      <c r="N17" s="437" t="n"/>
    </row>
    <row r="18" ht="17.25" customHeight="1">
      <c r="A18" s="1" t="n"/>
      <c r="B18" s="8" t="n"/>
      <c r="C18" s="53" t="n"/>
      <c r="D18" s="425" t="n"/>
      <c r="E18" s="53" t="n"/>
      <c r="F18" s="61" t="n"/>
      <c r="G18" s="61" t="n"/>
      <c r="H18" s="53" t="n"/>
      <c r="I18" s="453" t="n"/>
      <c r="J18" s="455" t="n"/>
      <c r="K18" s="451" t="n"/>
      <c r="L18" s="451" t="n"/>
      <c r="M18" s="448">
        <f>SUM(K18:L18)</f>
        <v/>
      </c>
      <c r="N18" s="437" t="n"/>
    </row>
    <row r="19" ht="17.25" customHeight="1">
      <c r="A19" s="51" t="n"/>
      <c r="B19" s="62" t="n"/>
      <c r="C19" s="53" t="n"/>
      <c r="D19" s="425" t="n"/>
      <c r="E19" s="53" t="n"/>
      <c r="F19" s="61" t="n"/>
      <c r="G19" s="61" t="n"/>
      <c r="H19" s="53" t="n"/>
      <c r="I19" s="453" t="n"/>
      <c r="J19" s="455" t="n"/>
      <c r="K19" s="451" t="n"/>
      <c r="L19" s="451" t="n"/>
      <c r="M19" s="448">
        <f>SUM(K19:L19)</f>
        <v/>
      </c>
      <c r="N19" s="437" t="n"/>
    </row>
    <row r="20" ht="17.25" customHeight="1">
      <c r="A20" s="51" t="n"/>
      <c r="B20" s="62" t="n"/>
      <c r="C20" s="53" t="n"/>
      <c r="D20" s="425" t="n"/>
      <c r="E20" s="53" t="n"/>
      <c r="F20" s="61" t="n"/>
      <c r="G20" s="61" t="n"/>
      <c r="H20" s="53" t="n"/>
      <c r="I20" s="453" t="n"/>
      <c r="J20" s="455" t="n"/>
      <c r="K20" s="451" t="n"/>
      <c r="L20" s="451" t="n"/>
      <c r="M20" s="448">
        <f>SUM(K20:L20)</f>
        <v/>
      </c>
      <c r="N20" s="437" t="n"/>
    </row>
    <row r="21" ht="17.25" customHeight="1">
      <c r="A21" s="51" t="n"/>
      <c r="B21" s="62" t="n"/>
      <c r="C21" s="53" t="n"/>
      <c r="D21" s="425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48">
        <f>SUM(K21:L21)</f>
        <v/>
      </c>
      <c r="N21" s="437" t="n"/>
    </row>
    <row r="22" ht="17.25" customHeight="1">
      <c r="A22" s="51" t="n"/>
      <c r="B22" s="62" t="n"/>
      <c r="C22" s="53" t="n"/>
      <c r="D22" s="425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48">
        <f>SUM(K22:L22)</f>
        <v/>
      </c>
      <c r="N22" s="437" t="n"/>
    </row>
    <row r="23" ht="17.25" customHeight="1">
      <c r="A23" s="51" t="n"/>
      <c r="B23" s="62" t="n"/>
      <c r="C23" s="53" t="n"/>
      <c r="D23" s="456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48">
        <f>SUM(K23:L23)</f>
        <v/>
      </c>
      <c r="N23" s="437" t="n"/>
    </row>
    <row r="24" ht="17.25" customHeight="1">
      <c r="A24" s="51" t="n"/>
      <c r="B24" s="62" t="n"/>
      <c r="C24" s="53" t="n"/>
      <c r="D24" s="53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48">
        <f>SUM(K24:L24)</f>
        <v/>
      </c>
      <c r="N24" s="437" t="n"/>
    </row>
    <row r="25" ht="17.25" customHeight="1">
      <c r="A25" s="51" t="n"/>
      <c r="B25" s="62" t="n"/>
      <c r="C25" s="53" t="n"/>
      <c r="D25" s="425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48">
        <f>SUM(K25:L25)</f>
        <v/>
      </c>
      <c r="N25" s="437" t="n"/>
    </row>
    <row r="26" ht="17.25" customHeight="1">
      <c r="A26" s="51" t="n"/>
      <c r="B26" s="62" t="n"/>
      <c r="C26" s="53" t="n"/>
      <c r="D26" s="425" t="n"/>
      <c r="E26" s="53" t="n"/>
      <c r="F26" s="61" t="n"/>
      <c r="G26" s="61" t="n"/>
      <c r="H26" s="53" t="n"/>
      <c r="I26" s="453" t="n"/>
      <c r="J26" s="455" t="n"/>
      <c r="K26" s="451" t="n"/>
      <c r="L26" s="451" t="n"/>
      <c r="M26" s="448">
        <f>SUM(K26:L26)</f>
        <v/>
      </c>
      <c r="N26" s="437" t="n"/>
    </row>
    <row r="27" ht="17.25" customHeight="1">
      <c r="A27" s="51" t="n"/>
      <c r="B27" s="62" t="n"/>
      <c r="C27" s="53" t="n"/>
      <c r="D27" s="456" t="n"/>
      <c r="E27" s="53" t="n"/>
      <c r="F27" s="61" t="n"/>
      <c r="G27" s="61" t="n"/>
      <c r="H27" s="53" t="n"/>
      <c r="I27" s="453" t="n"/>
      <c r="J27" s="455" t="n"/>
      <c r="K27" s="451" t="n"/>
      <c r="L27" s="451" t="n"/>
      <c r="M27" s="448">
        <f>SUM(K27:L27)</f>
        <v/>
      </c>
      <c r="N27" s="437" t="n"/>
    </row>
    <row r="28">
      <c r="A28" s="51" t="n"/>
      <c r="B28" s="62" t="n"/>
      <c r="C28" s="53" t="n"/>
      <c r="D28" s="53" t="n"/>
      <c r="E28" s="53" t="n"/>
      <c r="F28" s="61" t="n"/>
      <c r="G28" s="61" t="n"/>
      <c r="H28" s="53" t="n"/>
      <c r="I28" s="453" t="n"/>
      <c r="J28" s="455" t="n"/>
      <c r="K28" s="451" t="n"/>
      <c r="L28" s="451" t="n"/>
      <c r="M28" s="448">
        <f>SUM(K28:L28)</f>
        <v/>
      </c>
      <c r="N28" s="437" t="n"/>
    </row>
    <row r="29">
      <c r="A29" s="51" t="n"/>
      <c r="B29" s="62" t="n"/>
      <c r="C29" s="53" t="n"/>
      <c r="D29" s="425" t="n"/>
      <c r="E29" s="53" t="n"/>
      <c r="F29" s="61" t="n"/>
      <c r="G29" s="61" t="n"/>
      <c r="H29" s="53" t="n"/>
      <c r="I29" s="453" t="n"/>
      <c r="J29" s="455" t="n"/>
      <c r="K29" s="451" t="n"/>
      <c r="L29" s="451" t="n"/>
      <c r="M29" s="448">
        <f>SUM(K29:L29)</f>
        <v/>
      </c>
      <c r="N29" s="437" t="n"/>
    </row>
    <row r="30">
      <c r="A30" s="51" t="n"/>
      <c r="B30" s="62" t="n"/>
      <c r="C30" s="53" t="n"/>
      <c r="D30" s="476" t="n"/>
      <c r="E30" s="53" t="n"/>
      <c r="F30" s="61" t="n"/>
      <c r="G30" s="61" t="n"/>
      <c r="H30" s="53" t="n"/>
      <c r="I30" s="453" t="n"/>
      <c r="J30" s="455" t="n"/>
      <c r="K30" s="451" t="n"/>
      <c r="L30" s="451" t="n"/>
      <c r="M30" s="448">
        <f>SUM(K30:L30)</f>
        <v/>
      </c>
      <c r="N30" s="437" t="n"/>
    </row>
    <row r="31">
      <c r="A31" s="51" t="n"/>
      <c r="B31" s="62" t="n"/>
      <c r="C31" s="53" t="n"/>
      <c r="D31" s="425" t="n"/>
      <c r="E31" s="53" t="n"/>
      <c r="F31" s="61" t="n"/>
      <c r="G31" s="61" t="n"/>
      <c r="H31" s="53" t="n"/>
      <c r="I31" s="453" t="n"/>
      <c r="J31" s="455" t="n"/>
      <c r="K31" s="451" t="n"/>
      <c r="L31" s="451" t="n"/>
      <c r="M31" s="448">
        <f>SUM(K31:L31)</f>
        <v/>
      </c>
      <c r="N31" s="437" t="n"/>
    </row>
    <row r="32">
      <c r="A32" s="51" t="n"/>
      <c r="B32" s="62" t="n"/>
      <c r="C32" s="53" t="n"/>
      <c r="D32" s="9" t="n"/>
      <c r="E32" s="53" t="n"/>
      <c r="F32" s="61" t="n"/>
      <c r="G32" s="61" t="n"/>
      <c r="H32" s="53" t="n"/>
      <c r="I32" s="453" t="n"/>
      <c r="J32" s="455" t="n"/>
      <c r="K32" s="451" t="n"/>
      <c r="L32" s="451" t="n"/>
      <c r="M32" s="448">
        <f>SUM(K32:L32)</f>
        <v/>
      </c>
      <c r="N32" s="437" t="n"/>
    </row>
    <row r="33">
      <c r="A33" s="51" t="n"/>
      <c r="B33" s="62" t="n"/>
      <c r="C33" s="53" t="n"/>
      <c r="D33" s="425" t="n"/>
      <c r="E33" s="53" t="n"/>
      <c r="F33" s="61" t="n"/>
      <c r="G33" s="61" t="n"/>
      <c r="H33" s="53" t="n"/>
      <c r="I33" s="453" t="n"/>
      <c r="J33" s="455" t="n"/>
      <c r="K33" s="451" t="n"/>
      <c r="L33" s="451" t="n"/>
      <c r="M33" s="448">
        <f>SUM(K33:L33)</f>
        <v/>
      </c>
      <c r="N33" s="437" t="n"/>
    </row>
    <row r="34">
      <c r="A34" s="51" t="n"/>
      <c r="B34" s="62" t="n"/>
      <c r="C34" s="53" t="n"/>
      <c r="D34" s="425" t="n"/>
      <c r="E34" s="53" t="n"/>
      <c r="F34" s="61" t="n"/>
      <c r="G34" s="61" t="n"/>
      <c r="H34" s="53" t="n"/>
      <c r="I34" s="453" t="n"/>
      <c r="J34" s="455" t="n"/>
      <c r="K34" s="451" t="n"/>
      <c r="L34" s="451" t="n"/>
      <c r="M34" s="448">
        <f>SUM(K34:L34)</f>
        <v/>
      </c>
      <c r="N34" s="437" t="n"/>
    </row>
    <row r="35">
      <c r="A35" s="51" t="n"/>
      <c r="B35" s="62" t="n"/>
      <c r="C35" s="53" t="n"/>
      <c r="D35" s="456" t="n"/>
      <c r="E35" s="10" t="n"/>
      <c r="F35" s="61" t="n"/>
      <c r="G35" s="61" t="n"/>
      <c r="H35" s="10" t="n"/>
      <c r="I35" s="461" t="n"/>
      <c r="J35" s="458" t="n"/>
      <c r="K35" s="459" t="n"/>
      <c r="L35" s="459" t="n"/>
      <c r="M35" s="448">
        <f>SUM(K35:L35)</f>
        <v/>
      </c>
      <c r="N35" s="437" t="n"/>
    </row>
    <row r="36">
      <c r="A36" s="14" t="n"/>
      <c r="B36" s="15" t="n"/>
      <c r="C36" s="10" t="n"/>
      <c r="D36" s="425" t="n"/>
      <c r="E36" s="10" t="n"/>
      <c r="F36" s="61" t="n"/>
      <c r="G36" s="61" t="n"/>
      <c r="H36" s="10" t="n"/>
      <c r="I36" s="461" t="n"/>
      <c r="J36" s="458" t="n"/>
      <c r="K36" s="459" t="n"/>
      <c r="L36" s="459" t="n"/>
      <c r="M36" s="448">
        <f>SUM(K36:L36)</f>
        <v/>
      </c>
      <c r="N36" s="437" t="n"/>
    </row>
    <row r="37">
      <c r="A37" s="14" t="n"/>
      <c r="B37" s="15" t="n"/>
      <c r="C37" s="10" t="n"/>
      <c r="D37" s="460" t="n"/>
      <c r="E37" s="10" t="n"/>
      <c r="F37" s="61" t="n"/>
      <c r="G37" s="61" t="n"/>
      <c r="H37" s="10" t="n"/>
      <c r="I37" s="461" t="n"/>
      <c r="J37" s="458" t="n"/>
      <c r="K37" s="459" t="n"/>
      <c r="L37" s="459" t="n"/>
      <c r="M37" s="448">
        <f>SUM(K37:L37)</f>
        <v/>
      </c>
      <c r="N37" s="437" t="n"/>
    </row>
    <row r="38">
      <c r="A38" s="14" t="n"/>
      <c r="B38" s="15" t="n"/>
      <c r="C38" s="10" t="n"/>
      <c r="D38" s="460" t="n"/>
      <c r="E38" s="10" t="n"/>
      <c r="F38" s="61" t="n"/>
      <c r="G38" s="61" t="n"/>
      <c r="H38" s="10" t="n"/>
      <c r="I38" s="461" t="n"/>
      <c r="J38" s="458" t="n"/>
      <c r="K38" s="459" t="n"/>
      <c r="L38" s="459" t="n"/>
      <c r="M38" s="448">
        <f>SUM(K38:L38)</f>
        <v/>
      </c>
      <c r="N38" s="437" t="n"/>
    </row>
    <row r="39">
      <c r="A39" s="20" t="n"/>
      <c r="B39" s="21" t="n"/>
      <c r="C39" s="22" t="n"/>
      <c r="D39" s="21" t="n"/>
      <c r="E39" s="21" t="n"/>
      <c r="F39" s="21" t="n"/>
      <c r="G39" s="21" t="n"/>
      <c r="H39" s="21" t="n"/>
      <c r="I39" s="465" t="n"/>
      <c r="J39" s="469" t="n"/>
      <c r="K39" s="470" t="n"/>
      <c r="L39" s="470" t="n"/>
      <c r="M39" s="470" t="n"/>
      <c r="N39" s="437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9" t="n"/>
      <c r="K40" s="470" t="n"/>
      <c r="L40" s="470" t="n"/>
      <c r="M40" s="472">
        <f>SUM(M2:M39)</f>
        <v/>
      </c>
      <c r="N40" s="472">
        <f>SUM(N2:N39)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9" t="n"/>
      <c r="K41" s="470" t="n"/>
      <c r="L41" s="470" t="n"/>
      <c r="M41" s="473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9" t="n"/>
      <c r="K42" s="470" t="n"/>
      <c r="L42" s="47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P137"/>
  <sheetViews>
    <sheetView zoomScaleNormal="100" zoomScaleSheetLayoutView="100" workbookViewId="0">
      <selection activeCell="B3" sqref="B3:B9"/>
    </sheetView>
  </sheetViews>
  <sheetFormatPr baseColWidth="8" defaultRowHeight="15"/>
  <cols>
    <col width="9.75" customWidth="1" min="4" max="11"/>
  </cols>
  <sheetData>
    <row r="1">
      <c r="A1" s="159" t="n"/>
      <c r="B1" s="376" t="n"/>
      <c r="C1" s="376" t="n"/>
      <c r="D1" s="492" t="n"/>
      <c r="E1" s="492" t="n"/>
      <c r="F1" s="492" t="n"/>
      <c r="G1" s="492" t="n"/>
      <c r="H1" s="492" t="n"/>
      <c r="I1" s="569" t="n"/>
      <c r="J1" s="574" t="n"/>
      <c r="K1" s="575" t="n"/>
      <c r="L1" s="576" t="n"/>
      <c r="M1" s="575" t="n"/>
      <c r="N1" s="577" t="n"/>
      <c r="O1" s="112" t="n"/>
      <c r="P1" s="112" t="n"/>
    </row>
    <row r="2">
      <c r="A2" s="291" t="n"/>
      <c r="B2" s="383" t="n"/>
      <c r="C2" s="158" t="n"/>
      <c r="D2" s="540" t="n"/>
      <c r="E2" s="384" t="n"/>
      <c r="F2" s="166" t="n"/>
      <c r="G2" s="166" t="n"/>
      <c r="H2" s="578" t="n"/>
      <c r="I2" s="509" t="n"/>
      <c r="J2" s="485" t="n"/>
      <c r="K2" s="448" t="n"/>
      <c r="L2" s="477" t="n"/>
      <c r="M2" s="448" t="n"/>
      <c r="N2" s="448" t="n"/>
      <c r="O2" s="112" t="n"/>
      <c r="P2" s="112" t="n"/>
    </row>
    <row r="3">
      <c r="A3" s="291" t="n"/>
      <c r="B3" s="383" t="n"/>
      <c r="C3" s="158" t="n"/>
      <c r="D3" s="540" t="n"/>
      <c r="E3" s="384" t="n"/>
      <c r="F3" s="166" t="n"/>
      <c r="G3" s="166" t="n"/>
      <c r="H3" s="578" t="n"/>
      <c r="I3" s="509" t="n"/>
      <c r="J3" s="485" t="n"/>
      <c r="K3" s="448" t="n"/>
      <c r="L3" s="477" t="n"/>
      <c r="M3" s="448" t="n"/>
      <c r="N3" s="448" t="n"/>
      <c r="O3" s="112" t="n"/>
      <c r="P3" s="112" t="n"/>
    </row>
    <row r="4">
      <c r="A4" s="308" t="n"/>
      <c r="B4" s="309" t="n"/>
      <c r="C4" s="310" t="n"/>
      <c r="D4" s="370" t="n"/>
      <c r="E4" s="370" t="n"/>
      <c r="F4" s="390" t="n"/>
      <c r="G4" s="390" t="n"/>
      <c r="H4" s="370" t="n"/>
      <c r="I4" s="579" t="n"/>
      <c r="J4" s="446" t="n"/>
      <c r="K4" s="448" t="n"/>
      <c r="L4" s="477" t="n"/>
      <c r="M4" s="448" t="n"/>
      <c r="N4" s="448" t="n"/>
      <c r="O4" s="112" t="n"/>
      <c r="P4" s="112" t="n"/>
    </row>
    <row r="5">
      <c r="A5" s="159" t="n"/>
      <c r="B5" s="168" t="n"/>
      <c r="C5" s="167" t="n"/>
      <c r="D5" s="580" t="n"/>
      <c r="E5" s="165" t="n"/>
      <c r="F5" s="166" t="n"/>
      <c r="G5" s="166" t="n"/>
      <c r="H5" s="165" t="n"/>
      <c r="I5" s="446" t="n"/>
      <c r="J5" s="485" t="n"/>
      <c r="K5" s="448" t="n"/>
      <c r="L5" s="477" t="n"/>
      <c r="M5" s="448" t="n"/>
      <c r="N5" s="448" t="n"/>
      <c r="O5" s="112" t="n"/>
      <c r="P5" s="112" t="n"/>
    </row>
    <row r="6">
      <c r="A6" s="159" t="n"/>
      <c r="B6" s="164" t="n"/>
      <c r="C6" s="165" t="n"/>
      <c r="D6" s="581" t="n"/>
      <c r="E6" s="487" t="n"/>
      <c r="F6" s="400" t="n"/>
      <c r="G6" s="400" t="n"/>
      <c r="H6" s="401" t="n"/>
      <c r="I6" s="582" t="n"/>
      <c r="J6" s="583" t="n"/>
      <c r="K6" s="448" t="n"/>
      <c r="L6" s="477" t="n"/>
      <c r="M6" s="448" t="n"/>
      <c r="N6" s="448" t="n"/>
      <c r="O6" s="112" t="n"/>
      <c r="P6" s="112" t="n"/>
    </row>
    <row r="7">
      <c r="A7" s="291" t="n"/>
      <c r="B7" s="198" t="n"/>
      <c r="C7" s="158" t="n"/>
      <c r="D7" s="581" t="n"/>
      <c r="E7" s="404" t="n"/>
      <c r="F7" s="311" t="n"/>
      <c r="G7" s="311" t="n"/>
      <c r="H7" s="165" t="n"/>
      <c r="I7" s="446" t="n"/>
      <c r="J7" s="446" t="n"/>
      <c r="K7" s="448" t="n"/>
      <c r="L7" s="477" t="n"/>
      <c r="M7" s="448" t="n"/>
      <c r="N7" s="448" t="n"/>
      <c r="O7" s="150" t="n"/>
      <c r="P7" s="150" t="n"/>
    </row>
    <row r="8">
      <c r="A8" s="405" t="n"/>
      <c r="B8" s="324" t="n"/>
      <c r="C8" s="325" t="n"/>
      <c r="D8" s="487" t="n"/>
      <c r="E8" s="325" t="n"/>
      <c r="F8" s="380" t="n"/>
      <c r="G8" s="380" t="n"/>
      <c r="H8" s="325" t="n"/>
      <c r="I8" s="542" t="n"/>
      <c r="J8" s="485" t="n"/>
      <c r="K8" s="543" t="n"/>
      <c r="L8" s="477" t="n"/>
      <c r="M8" s="448" t="n"/>
      <c r="N8" s="448" t="n"/>
      <c r="O8" s="407" t="n"/>
      <c r="P8" s="405" t="n"/>
    </row>
    <row r="9">
      <c r="A9" s="322" t="n"/>
      <c r="B9" s="408" t="n"/>
      <c r="C9" s="301" t="n"/>
      <c r="D9" s="487" t="n"/>
      <c r="E9" s="158" t="n"/>
      <c r="F9" s="311" t="n"/>
      <c r="G9" s="311" t="n"/>
      <c r="H9" s="158" t="n"/>
      <c r="I9" s="509" t="n"/>
      <c r="J9" s="446" t="n"/>
      <c r="K9" s="448" t="n"/>
      <c r="L9" s="477" t="n"/>
      <c r="M9" s="448" t="n"/>
      <c r="N9" s="448" t="n"/>
      <c r="O9" s="112" t="n"/>
      <c r="P9" s="112" t="n"/>
    </row>
    <row r="10">
      <c r="A10" s="322" t="n"/>
      <c r="B10" s="408" t="n"/>
      <c r="C10" s="158" t="n"/>
      <c r="D10" s="167" t="n"/>
      <c r="E10" s="409" t="n"/>
      <c r="F10" s="263" t="n"/>
      <c r="G10" s="263" t="n"/>
      <c r="H10" s="370" t="n"/>
      <c r="I10" s="579" t="n"/>
      <c r="J10" s="579" t="n"/>
      <c r="K10" s="447" t="n"/>
      <c r="L10" s="584" t="n"/>
      <c r="M10" s="448" t="n"/>
      <c r="N10" s="448" t="n"/>
      <c r="O10" s="112" t="n"/>
      <c r="P10" s="112" t="n"/>
    </row>
    <row r="11">
      <c r="A11" s="159" t="n"/>
      <c r="B11" s="164" t="n"/>
      <c r="C11" s="165" t="n"/>
      <c r="D11" s="487" t="n"/>
      <c r="E11" s="165" t="n"/>
      <c r="F11" s="166" t="n"/>
      <c r="G11" s="166" t="n"/>
      <c r="H11" s="165" t="n"/>
      <c r="I11" s="446" t="n"/>
      <c r="J11" s="485" t="n"/>
      <c r="K11" s="448" t="n"/>
      <c r="L11" s="477" t="n"/>
      <c r="M11" s="448" t="n"/>
      <c r="N11" s="448" t="n"/>
      <c r="O11" s="112" t="n"/>
      <c r="P11" s="112" t="n"/>
    </row>
    <row r="12">
      <c r="A12" s="159" t="n"/>
      <c r="B12" s="168" t="n"/>
      <c r="C12" s="158" t="n"/>
      <c r="D12" s="487" t="n"/>
      <c r="E12" s="165" t="n"/>
      <c r="F12" s="166" t="n"/>
      <c r="G12" s="166" t="n"/>
      <c r="H12" s="165" t="n"/>
      <c r="I12" s="446" t="n"/>
      <c r="J12" s="485" t="n"/>
      <c r="K12" s="448" t="n"/>
      <c r="L12" s="477" t="n"/>
      <c r="M12" s="448" t="n"/>
      <c r="N12" s="448" t="n"/>
    </row>
    <row r="13">
      <c r="A13" s="159" t="n"/>
      <c r="B13" s="164" t="n"/>
      <c r="C13" s="167" t="n"/>
      <c r="D13" s="487" t="n"/>
      <c r="E13" s="165" t="n"/>
      <c r="F13" s="166" t="n"/>
      <c r="G13" s="166" t="n"/>
      <c r="H13" s="165" t="n"/>
      <c r="I13" s="446" t="n"/>
      <c r="J13" s="485" t="n"/>
      <c r="K13" s="448" t="n"/>
      <c r="L13" s="477" t="n"/>
      <c r="M13" s="448" t="n"/>
      <c r="N13" s="448" t="n"/>
    </row>
    <row r="14">
      <c r="A14" s="159" t="n"/>
      <c r="B14" s="164" t="n"/>
      <c r="C14" s="167" t="n"/>
      <c r="D14" s="487" t="n"/>
      <c r="E14" s="165" t="n"/>
      <c r="F14" s="166" t="n"/>
      <c r="G14" s="166" t="n"/>
      <c r="H14" s="165" t="n"/>
      <c r="I14" s="446" t="n"/>
      <c r="J14" s="485" t="n"/>
      <c r="K14" s="448" t="n"/>
      <c r="L14" s="477" t="n"/>
      <c r="M14" s="448" t="n"/>
      <c r="N14" s="448" t="n"/>
    </row>
    <row r="15">
      <c r="A15" s="159" t="n"/>
      <c r="B15" s="164" t="n"/>
      <c r="C15" s="167" t="n"/>
      <c r="D15" s="487" t="n"/>
      <c r="E15" s="266" t="n"/>
      <c r="F15" s="166" t="n"/>
      <c r="G15" s="166" t="n"/>
      <c r="H15" s="165" t="n"/>
      <c r="I15" s="446" t="n"/>
      <c r="J15" s="446" t="n"/>
      <c r="K15" s="448" t="n"/>
      <c r="L15" s="477" t="n"/>
      <c r="M15" s="448" t="n"/>
      <c r="N15" s="448" t="n"/>
      <c r="O15" s="405" t="n"/>
      <c r="P15" s="405" t="n"/>
    </row>
    <row r="16">
      <c r="A16" s="159" t="n"/>
      <c r="B16" s="164" t="n"/>
      <c r="C16" s="167" t="n"/>
      <c r="D16" s="487" t="n"/>
      <c r="E16" s="370" t="n"/>
      <c r="F16" s="166" t="n"/>
      <c r="G16" s="166" t="n"/>
      <c r="H16" s="370" t="n"/>
      <c r="I16" s="579" t="n"/>
      <c r="J16" s="485" t="n"/>
      <c r="K16" s="448" t="n"/>
      <c r="L16" s="477" t="n"/>
      <c r="M16" s="448" t="n"/>
      <c r="N16" s="448" t="n"/>
      <c r="O16" s="6" t="n"/>
      <c r="P16" s="6" t="n"/>
    </row>
    <row r="17">
      <c r="A17" s="159" t="n"/>
      <c r="B17" s="164" t="n"/>
      <c r="C17" s="167" t="n"/>
      <c r="D17" s="487" t="n"/>
      <c r="E17" s="165" t="n"/>
      <c r="F17" s="166" t="n"/>
      <c r="G17" s="166" t="n"/>
      <c r="H17" s="165" t="n"/>
      <c r="I17" s="446" t="n"/>
      <c r="J17" s="446" t="n"/>
      <c r="K17" s="448" t="n"/>
      <c r="L17" s="477" t="n"/>
      <c r="M17" s="448" t="n"/>
      <c r="N17" s="448" t="n"/>
      <c r="O17" s="112" t="n"/>
      <c r="P17" s="112" t="n"/>
    </row>
    <row r="18">
      <c r="A18" s="308" t="n"/>
      <c r="B18" s="309" t="n"/>
      <c r="C18" s="310" t="n"/>
      <c r="D18" s="487" t="n"/>
      <c r="E18" s="370" t="n"/>
      <c r="F18" s="410" t="n"/>
      <c r="G18" s="411" t="n"/>
      <c r="H18" s="412" t="n"/>
      <c r="I18" s="585" t="n"/>
      <c r="J18" s="507" t="n"/>
      <c r="K18" s="586" t="n"/>
      <c r="L18" s="584" t="n"/>
      <c r="M18" s="447" t="n"/>
      <c r="N18" s="448" t="n"/>
      <c r="O18" s="112" t="n"/>
      <c r="P18" s="307" t="n"/>
    </row>
    <row r="19">
      <c r="A19" s="316" t="n"/>
      <c r="B19" s="174" t="n"/>
      <c r="C19" s="165" t="n"/>
      <c r="D19" s="553" t="n"/>
      <c r="E19" s="165" t="n"/>
      <c r="F19" s="166" t="n"/>
      <c r="G19" s="166" t="n"/>
      <c r="H19" s="165" t="n"/>
      <c r="I19" s="446" t="n"/>
      <c r="J19" s="485" t="n"/>
      <c r="K19" s="448" t="n"/>
      <c r="L19" s="477" t="n"/>
      <c r="M19" s="490" t="n"/>
      <c r="N19" s="448" t="n"/>
    </row>
    <row r="20">
      <c r="A20" s="308" t="n"/>
      <c r="B20" s="309" t="n"/>
      <c r="C20" s="310" t="n"/>
      <c r="D20" s="487" t="n"/>
      <c r="E20" s="370" t="n"/>
      <c r="F20" s="390" t="n"/>
      <c r="G20" s="390" t="n"/>
      <c r="H20" s="370" t="n"/>
      <c r="I20" s="579" t="n"/>
      <c r="J20" s="507" t="n"/>
      <c r="K20" s="488" t="n"/>
      <c r="L20" s="488" t="n"/>
      <c r="M20" s="448" t="n"/>
      <c r="N20" s="448" t="n"/>
      <c r="O20" s="282" t="n"/>
      <c r="P20" s="282" t="n"/>
    </row>
    <row r="21">
      <c r="A21" s="316" t="n"/>
      <c r="B21" s="168" t="n"/>
      <c r="C21" s="165" t="n"/>
      <c r="D21" s="487" t="n"/>
      <c r="E21" s="165" t="n"/>
      <c r="F21" s="166" t="n"/>
      <c r="G21" s="166" t="n"/>
      <c r="H21" s="165" t="n"/>
      <c r="I21" s="446" t="n"/>
      <c r="J21" s="485" t="n"/>
      <c r="K21" s="448" t="n"/>
      <c r="L21" s="448" t="n"/>
      <c r="M21" s="490" t="n"/>
      <c r="N21" s="448" t="n"/>
      <c r="O21" s="281" t="n"/>
      <c r="P21" s="281" t="n"/>
    </row>
    <row r="22">
      <c r="A22" s="167" t="n"/>
      <c r="B22" s="168" t="n"/>
      <c r="C22" s="167" t="n"/>
      <c r="D22" s="516" t="n"/>
      <c r="E22" s="165" t="n"/>
      <c r="F22" s="166" t="n"/>
      <c r="G22" s="166" t="n"/>
      <c r="H22" s="165" t="n"/>
      <c r="I22" s="446" t="n"/>
      <c r="J22" s="587" t="n"/>
      <c r="K22" s="448" t="n"/>
      <c r="L22" s="477" t="n"/>
      <c r="M22" s="448" t="n"/>
      <c r="N22" s="448" t="n"/>
      <c r="O22" s="112" t="n"/>
      <c r="P22" s="112" t="n"/>
    </row>
    <row r="23">
      <c r="A23" s="159" t="n"/>
      <c r="B23" s="174" t="n"/>
      <c r="C23" s="158" t="n"/>
      <c r="D23" s="487" t="n"/>
      <c r="E23" s="165" t="n"/>
      <c r="F23" s="166" t="n"/>
      <c r="G23" s="166" t="n"/>
      <c r="H23" s="165" t="n"/>
      <c r="I23" s="446" t="n"/>
      <c r="J23" s="446" t="n"/>
      <c r="K23" s="488" t="n"/>
      <c r="L23" s="489" t="n"/>
      <c r="M23" s="448" t="n"/>
      <c r="N23" s="448" t="n"/>
      <c r="O23" s="112" t="n"/>
      <c r="P23" s="112" t="n"/>
    </row>
    <row r="24">
      <c r="A24" s="159" t="n"/>
      <c r="B24" s="164" t="n"/>
      <c r="C24" s="167" t="n"/>
      <c r="D24" s="487" t="n"/>
      <c r="E24" s="165" t="n"/>
      <c r="F24" s="166" t="n"/>
      <c r="G24" s="166" t="n"/>
      <c r="H24" s="165" t="n"/>
      <c r="I24" s="446" t="n"/>
      <c r="J24" s="446" t="n"/>
      <c r="K24" s="448" t="n"/>
      <c r="L24" s="477" t="n"/>
      <c r="M24" s="448" t="n"/>
      <c r="N24" s="448" t="n"/>
      <c r="O24" s="112" t="n"/>
      <c r="P24" s="112" t="n"/>
    </row>
    <row r="25">
      <c r="A25" s="316" t="n"/>
      <c r="B25" s="174" t="n"/>
      <c r="C25" s="167" t="n"/>
      <c r="D25" s="487" t="n"/>
      <c r="E25" s="165" t="n"/>
      <c r="F25" s="166" t="n"/>
      <c r="G25" s="166" t="n"/>
      <c r="H25" s="165" t="n"/>
      <c r="I25" s="446" t="n"/>
      <c r="J25" s="569" t="n"/>
      <c r="K25" s="448" t="n"/>
      <c r="L25" s="477" t="n"/>
      <c r="M25" s="448" t="n"/>
      <c r="N25" s="448" t="n"/>
      <c r="O25" s="112" t="n"/>
      <c r="P25" s="112" t="n"/>
    </row>
    <row r="26">
      <c r="A26" s="316" t="n"/>
      <c r="B26" s="174" t="n"/>
      <c r="C26" s="167" t="n"/>
      <c r="D26" s="487" t="n"/>
      <c r="E26" s="165" t="n"/>
      <c r="F26" s="166" t="n"/>
      <c r="G26" s="166" t="n"/>
      <c r="H26" s="165" t="n"/>
      <c r="I26" s="446" t="n"/>
      <c r="J26" s="569" t="n"/>
      <c r="K26" s="448" t="n"/>
      <c r="L26" s="477" t="n"/>
      <c r="M26" s="448" t="n"/>
      <c r="N26" s="448" t="n"/>
      <c r="O26" s="112" t="n"/>
      <c r="P26" s="112" t="n"/>
    </row>
    <row r="27">
      <c r="A27" s="316" t="n"/>
      <c r="B27" s="174" t="n"/>
      <c r="C27" s="158" t="n"/>
      <c r="D27" s="487" t="n"/>
      <c r="E27" s="165" t="n"/>
      <c r="F27" s="166" t="n"/>
      <c r="G27" s="166" t="n"/>
      <c r="H27" s="165" t="n"/>
      <c r="I27" s="446" t="n"/>
      <c r="J27" s="507" t="n"/>
      <c r="K27" s="488" t="n"/>
      <c r="L27" s="489" t="n"/>
      <c r="M27" s="448" t="n"/>
      <c r="N27" s="448" t="n"/>
      <c r="O27" s="112" t="n"/>
      <c r="P27" s="112" t="n"/>
    </row>
    <row r="28">
      <c r="A28" s="316" t="n"/>
      <c r="B28" s="168" t="n"/>
      <c r="C28" s="158" t="n"/>
      <c r="D28" s="487" t="n"/>
      <c r="E28" s="165" t="n"/>
      <c r="F28" s="166" t="n"/>
      <c r="G28" s="166" t="n"/>
      <c r="H28" s="165" t="n"/>
      <c r="I28" s="446" t="n"/>
      <c r="J28" s="507" t="n"/>
      <c r="K28" s="448" t="n"/>
      <c r="L28" s="477" t="n"/>
      <c r="M28" s="448" t="n"/>
      <c r="N28" s="448" t="n"/>
      <c r="O28" s="112" t="n"/>
      <c r="P28" s="112" t="n"/>
    </row>
    <row r="29">
      <c r="A29" s="318" t="n"/>
      <c r="B29" s="319" t="n"/>
      <c r="C29" s="286" t="n"/>
      <c r="D29" s="487" t="n"/>
      <c r="E29" s="286" t="n"/>
      <c r="F29" s="285" t="n"/>
      <c r="G29" s="285" t="n"/>
      <c r="H29" s="286" t="n"/>
      <c r="I29" s="504" t="n"/>
      <c r="J29" s="507" t="n"/>
      <c r="K29" s="490" t="n"/>
      <c r="L29" s="506" t="n"/>
      <c r="M29" s="490" t="n"/>
      <c r="N29" s="448" t="n"/>
      <c r="P29" s="112" t="n"/>
    </row>
    <row r="30">
      <c r="A30" s="316" t="n"/>
      <c r="B30" s="164" t="n"/>
      <c r="C30" s="167" t="n"/>
      <c r="D30" s="487" t="n"/>
      <c r="E30" s="165" t="n"/>
      <c r="F30" s="166" t="n"/>
      <c r="G30" s="166" t="n"/>
      <c r="H30" s="165" t="n"/>
      <c r="I30" s="446" t="n"/>
      <c r="J30" s="485" t="n"/>
      <c r="K30" s="448" t="n"/>
      <c r="L30" s="477" t="n"/>
      <c r="M30" s="448" t="n"/>
      <c r="N30" s="448" t="n"/>
      <c r="O30" s="112" t="n"/>
      <c r="P30" s="112" t="n"/>
    </row>
    <row r="31">
      <c r="A31" s="316" t="n"/>
      <c r="B31" s="168" t="n"/>
      <c r="C31" s="158" t="n"/>
      <c r="D31" s="487" t="n"/>
      <c r="E31" s="165" t="n"/>
      <c r="F31" s="166" t="n"/>
      <c r="G31" s="166" t="n"/>
      <c r="H31" s="165" t="n"/>
      <c r="I31" s="446" t="n"/>
      <c r="J31" s="485" t="n"/>
      <c r="K31" s="448" t="n"/>
      <c r="L31" s="477" t="n"/>
      <c r="M31" s="448" t="n"/>
      <c r="N31" s="448" t="n"/>
      <c r="O31" s="112" t="n"/>
      <c r="P31" s="112" t="n"/>
    </row>
    <row r="32">
      <c r="A32" s="316" t="n"/>
      <c r="B32" s="168" t="n"/>
      <c r="C32" s="158" t="n"/>
      <c r="D32" s="487" t="n"/>
      <c r="E32" s="165" t="n"/>
      <c r="F32" s="166" t="n"/>
      <c r="G32" s="166" t="n"/>
      <c r="H32" s="165" t="n"/>
      <c r="I32" s="446" t="n"/>
      <c r="J32" s="485" t="n"/>
      <c r="K32" s="448" t="n"/>
      <c r="L32" s="477" t="n"/>
      <c r="M32" s="448" t="n"/>
      <c r="N32" s="448" t="n"/>
      <c r="O32" s="112" t="n"/>
      <c r="P32" s="112" t="n"/>
    </row>
    <row r="33">
      <c r="A33" s="389" t="n"/>
      <c r="B33" s="390" t="n"/>
      <c r="C33" s="370" t="n"/>
      <c r="D33" s="492" t="n"/>
      <c r="E33" s="370" t="n"/>
      <c r="F33" s="166" t="n"/>
      <c r="G33" s="166" t="n"/>
      <c r="H33" s="370" t="n"/>
      <c r="I33" s="579" t="n"/>
      <c r="J33" s="556" t="n"/>
      <c r="K33" s="447" t="n"/>
      <c r="L33" s="447" t="n"/>
      <c r="M33" s="448" t="n"/>
      <c r="N33" s="448" t="n"/>
      <c r="O33" s="112" t="n"/>
      <c r="P33" s="112" t="n"/>
    </row>
    <row r="34">
      <c r="A34" s="389" t="n"/>
      <c r="B34" s="390" t="n"/>
      <c r="C34" s="370" t="n"/>
      <c r="D34" s="588" t="n"/>
      <c r="E34" s="370" t="n"/>
      <c r="F34" s="166" t="n"/>
      <c r="G34" s="166" t="n"/>
      <c r="H34" s="370" t="n"/>
      <c r="I34" s="579" t="n"/>
      <c r="J34" s="556" t="n"/>
      <c r="K34" s="447" t="n"/>
      <c r="L34" s="447" t="n"/>
      <c r="M34" s="448" t="n"/>
      <c r="N34" s="448" t="n"/>
      <c r="O34" s="112" t="n"/>
      <c r="P34" s="112" t="n"/>
    </row>
    <row r="35">
      <c r="A35" s="389" t="n"/>
      <c r="B35" s="390" t="n"/>
      <c r="C35" s="370" t="n"/>
      <c r="D35" s="588" t="n"/>
      <c r="E35" s="370" t="n"/>
      <c r="F35" s="166" t="n"/>
      <c r="G35" s="166" t="n"/>
      <c r="H35" s="370" t="n"/>
      <c r="I35" s="579" t="n"/>
      <c r="J35" s="556" t="n"/>
      <c r="K35" s="447" t="n"/>
      <c r="L35" s="447" t="n"/>
      <c r="M35" s="448" t="n"/>
      <c r="N35" s="448" t="n"/>
      <c r="O35" s="112" t="n"/>
      <c r="P35" s="112" t="n"/>
    </row>
    <row r="36">
      <c r="A36" s="389" t="n"/>
      <c r="B36" s="390" t="n"/>
      <c r="C36" s="370" t="n"/>
      <c r="D36" s="492" t="n"/>
      <c r="E36" s="370" t="n"/>
      <c r="F36" s="166" t="n"/>
      <c r="G36" s="166" t="n"/>
      <c r="H36" s="370" t="n"/>
      <c r="I36" s="579" t="n"/>
      <c r="J36" s="556" t="n"/>
      <c r="K36" s="447" t="n"/>
      <c r="L36" s="447" t="n"/>
      <c r="M36" s="448" t="n"/>
      <c r="N36" s="448" t="n"/>
      <c r="O36" s="112" t="n"/>
      <c r="P36" s="112" t="n"/>
    </row>
    <row r="37">
      <c r="A37" s="308" t="n"/>
      <c r="B37" s="309" t="n"/>
      <c r="C37" s="370" t="n"/>
      <c r="D37" s="487" t="n"/>
      <c r="E37" s="370" t="n"/>
      <c r="F37" s="166" t="n"/>
      <c r="G37" s="166" t="n"/>
      <c r="H37" s="370" t="n"/>
      <c r="I37" s="579" t="n"/>
      <c r="J37" s="556" t="n"/>
      <c r="K37" s="447" t="n"/>
      <c r="L37" s="447" t="n"/>
      <c r="M37" s="448" t="n"/>
      <c r="N37" s="448" t="n"/>
      <c r="O37" s="112" t="n"/>
      <c r="P37" s="112" t="n"/>
    </row>
    <row r="38">
      <c r="A38" s="308" t="n"/>
      <c r="B38" s="309" t="n"/>
      <c r="C38" s="370" t="n"/>
      <c r="D38" s="487" t="n"/>
      <c r="E38" s="370" t="n"/>
      <c r="F38" s="166" t="n"/>
      <c r="G38" s="166" t="n"/>
      <c r="H38" s="370" t="n"/>
      <c r="I38" s="579" t="n"/>
      <c r="J38" s="556" t="n"/>
      <c r="K38" s="447" t="n"/>
      <c r="L38" s="447" t="n"/>
      <c r="M38" s="448" t="n"/>
      <c r="N38" s="448" t="n"/>
      <c r="O38" s="112" t="n"/>
      <c r="P38" s="112" t="n"/>
    </row>
    <row r="39">
      <c r="A39" s="308" t="n"/>
      <c r="B39" s="309" t="n"/>
      <c r="C39" s="370" t="n"/>
      <c r="D39" s="487" t="n"/>
      <c r="E39" s="370" t="n"/>
      <c r="F39" s="166" t="n"/>
      <c r="G39" s="166" t="n"/>
      <c r="H39" s="370" t="n"/>
      <c r="I39" s="579" t="n"/>
      <c r="J39" s="556" t="n"/>
      <c r="K39" s="447" t="n"/>
      <c r="L39" s="447" t="n"/>
      <c r="M39" s="448" t="n"/>
      <c r="N39" s="448" t="n"/>
      <c r="O39" s="112" t="n"/>
      <c r="P39" s="112" t="n"/>
    </row>
    <row r="40">
      <c r="A40" s="389" t="n"/>
      <c r="B40" s="390" t="n"/>
      <c r="C40" s="370" t="n"/>
      <c r="D40" s="589" t="n"/>
      <c r="E40" s="370" t="n"/>
      <c r="F40" s="166" t="n"/>
      <c r="G40" s="166" t="n"/>
      <c r="H40" s="370" t="n"/>
      <c r="I40" s="579" t="n"/>
      <c r="J40" s="556" t="n"/>
      <c r="K40" s="447" t="n"/>
      <c r="L40" s="447" t="n"/>
      <c r="M40" s="448" t="n"/>
      <c r="N40" s="448" t="n"/>
      <c r="O40" s="112" t="n"/>
      <c r="P40" s="112" t="n"/>
    </row>
    <row r="41">
      <c r="A41" s="389" t="n"/>
      <c r="B41" s="390" t="n"/>
      <c r="C41" s="165" t="n"/>
      <c r="D41" s="589" t="n"/>
      <c r="E41" s="165" t="n"/>
      <c r="F41" s="174" t="n"/>
      <c r="G41" s="174" t="n"/>
      <c r="H41" s="165" t="n"/>
      <c r="I41" s="446" t="n"/>
      <c r="J41" s="485" t="n"/>
      <c r="K41" s="448" t="n"/>
      <c r="L41" s="448" t="n"/>
      <c r="M41" s="448" t="n"/>
      <c r="N41" s="448" t="n"/>
      <c r="O41" s="112" t="n"/>
      <c r="P41" s="112" t="n"/>
    </row>
    <row r="42">
      <c r="A42" s="392" t="n"/>
      <c r="B42" s="393" t="n"/>
      <c r="C42" s="394" t="n"/>
      <c r="D42" s="393" t="n"/>
      <c r="E42" s="393" t="n"/>
      <c r="F42" s="393" t="n"/>
      <c r="G42" s="393" t="n"/>
      <c r="H42" s="393" t="n"/>
      <c r="I42" s="590" t="n"/>
      <c r="J42" s="591" t="n"/>
      <c r="K42" s="592" t="n"/>
      <c r="L42" s="592" t="n"/>
      <c r="M42" s="592" t="n"/>
      <c r="N42" s="448" t="n"/>
      <c r="O42" s="112" t="n"/>
      <c r="P42" s="112" t="n"/>
    </row>
    <row r="43">
      <c r="A43" s="392" t="n"/>
      <c r="B43" s="393" t="n"/>
      <c r="C43" s="394" t="n"/>
      <c r="D43" s="393" t="n"/>
      <c r="E43" s="393" t="n"/>
      <c r="F43" s="393" t="n"/>
      <c r="G43" s="393" t="n"/>
      <c r="H43" s="393" t="n"/>
      <c r="I43" s="112" t="n"/>
      <c r="J43" s="591" t="n"/>
      <c r="K43" s="592" t="n"/>
      <c r="L43" s="592" t="n"/>
      <c r="M43" s="567" t="n"/>
      <c r="N43" s="472" t="n"/>
      <c r="O43" s="112" t="n"/>
      <c r="P43" s="112" t="n"/>
    </row>
    <row r="44">
      <c r="A44" s="392" t="n"/>
      <c r="B44" s="393" t="n"/>
      <c r="C44" s="394" t="n"/>
      <c r="D44" s="393" t="n"/>
      <c r="E44" s="393" t="n"/>
      <c r="F44" s="393" t="n"/>
      <c r="G44" s="393" t="n"/>
      <c r="H44" s="393" t="n"/>
      <c r="I44" s="112" t="n"/>
      <c r="J44" s="591" t="n"/>
      <c r="K44" s="592" t="n"/>
      <c r="L44" s="592" t="n"/>
      <c r="M44" s="568" t="n"/>
      <c r="N44" s="112" t="n"/>
      <c r="O44" s="112" t="n"/>
      <c r="P44" s="112" t="n"/>
    </row>
    <row r="45">
      <c r="A45" s="392" t="n"/>
      <c r="B45" s="393" t="n"/>
      <c r="C45" s="394" t="n"/>
      <c r="D45" s="393" t="n"/>
      <c r="E45" s="393" t="n"/>
      <c r="F45" s="393" t="n"/>
      <c r="G45" s="393" t="n"/>
      <c r="H45" s="393" t="n"/>
      <c r="I45" s="112" t="n"/>
      <c r="J45" s="591" t="n"/>
      <c r="K45" s="592" t="n"/>
      <c r="L45" s="592" t="n"/>
      <c r="M45" s="558" t="n"/>
      <c r="N45" s="112" t="n"/>
      <c r="O45" s="112" t="n"/>
      <c r="P45" s="112" t="n"/>
    </row>
    <row r="46">
      <c r="A46" s="246" t="n"/>
      <c r="B46" s="112" t="n"/>
      <c r="C46" s="247" t="n"/>
      <c r="D46" s="112" t="n"/>
      <c r="E46" s="112" t="n"/>
      <c r="F46" s="112" t="n"/>
      <c r="G46" s="112" t="n"/>
      <c r="H46" s="112" t="n"/>
      <c r="I46" s="112" t="n"/>
      <c r="J46" s="557" t="n"/>
      <c r="K46" s="558" t="n"/>
      <c r="L46" s="558" t="n"/>
      <c r="M46" s="558" t="n"/>
      <c r="N46" s="112" t="n"/>
      <c r="O46" s="112" t="n"/>
      <c r="P46" s="112" t="n"/>
    </row>
    <row r="47">
      <c r="A47" s="246" t="n"/>
      <c r="B47" s="112" t="n"/>
      <c r="C47" s="247" t="n"/>
      <c r="D47" s="112" t="n"/>
      <c r="E47" s="112" t="n"/>
      <c r="F47" s="112" t="n"/>
      <c r="G47" s="112" t="n"/>
      <c r="H47" s="112" t="n"/>
      <c r="I47" s="112" t="n"/>
      <c r="J47" s="557" t="n"/>
      <c r="K47" s="558" t="n"/>
      <c r="L47" s="558" t="n"/>
      <c r="M47" s="558" t="n"/>
      <c r="N47" s="112" t="n"/>
      <c r="O47" s="112" t="n"/>
      <c r="P47" s="112" t="n"/>
    </row>
    <row r="48">
      <c r="A48" s="246" t="n"/>
      <c r="B48" s="112" t="n"/>
      <c r="C48" s="247" t="n"/>
      <c r="D48" s="112" t="n"/>
      <c r="E48" s="112" t="n"/>
      <c r="F48" s="112" t="n"/>
      <c r="G48" s="112" t="n"/>
      <c r="H48" s="112" t="n"/>
      <c r="I48" s="112" t="n"/>
      <c r="J48" s="557" t="n"/>
      <c r="K48" s="558" t="n"/>
      <c r="L48" s="558" t="n"/>
      <c r="M48" s="558" t="n"/>
      <c r="N48" s="112" t="n"/>
      <c r="O48" s="112" t="n"/>
      <c r="P48" s="112" t="n"/>
    </row>
    <row r="49">
      <c r="A49" s="246" t="n"/>
      <c r="B49" s="112" t="n"/>
      <c r="C49" s="247" t="n"/>
      <c r="D49" s="112" t="n"/>
      <c r="E49" s="112" t="n"/>
      <c r="F49" s="112" t="n"/>
      <c r="G49" s="112" t="n"/>
      <c r="H49" s="112" t="n"/>
      <c r="I49" s="112" t="n"/>
      <c r="J49" s="557" t="n"/>
      <c r="K49" s="558" t="n"/>
      <c r="L49" s="558" t="n"/>
      <c r="M49" s="558" t="n"/>
      <c r="N49" s="112" t="n"/>
      <c r="O49" s="112" t="n"/>
      <c r="P49" s="112" t="n"/>
    </row>
    <row r="50">
      <c r="A50" s="246" t="n"/>
      <c r="B50" s="112" t="n"/>
      <c r="C50" s="247" t="n"/>
      <c r="D50" s="112" t="n"/>
      <c r="E50" s="112" t="n"/>
      <c r="F50" s="112" t="n"/>
      <c r="G50" s="112" t="n"/>
      <c r="H50" s="112" t="n"/>
      <c r="I50" s="112" t="n"/>
      <c r="J50" s="557" t="n"/>
      <c r="K50" s="558" t="n"/>
      <c r="L50" s="558" t="n"/>
      <c r="M50" s="558" t="n"/>
      <c r="N50" s="112" t="n"/>
      <c r="O50" s="112" t="n"/>
      <c r="P50" s="112" t="n"/>
    </row>
    <row r="51">
      <c r="A51" s="246" t="n"/>
      <c r="B51" s="112" t="n"/>
      <c r="C51" s="247" t="n"/>
      <c r="D51" s="112" t="n"/>
      <c r="E51" s="112" t="n"/>
      <c r="F51" s="112" t="n"/>
      <c r="G51" s="112" t="n"/>
      <c r="H51" s="112" t="n"/>
      <c r="I51" s="112" t="n"/>
      <c r="J51" s="557" t="n"/>
      <c r="K51" s="558" t="n"/>
      <c r="L51" s="558" t="n"/>
      <c r="M51" s="558" t="n"/>
      <c r="N51" s="112" t="n"/>
      <c r="O51" s="112" t="n"/>
      <c r="P51" s="112" t="n"/>
    </row>
    <row r="52">
      <c r="A52" s="246" t="n"/>
      <c r="B52" s="112" t="n"/>
      <c r="C52" s="247" t="n"/>
      <c r="D52" s="112" t="n"/>
      <c r="E52" s="112" t="n"/>
      <c r="F52" s="112" t="n"/>
      <c r="G52" s="112" t="n"/>
      <c r="H52" s="112" t="n"/>
      <c r="I52" s="112" t="n"/>
      <c r="J52" s="557" t="n"/>
      <c r="K52" s="558" t="n"/>
      <c r="L52" s="558" t="n"/>
      <c r="M52" s="558" t="n"/>
      <c r="N52" s="112" t="n"/>
      <c r="O52" s="112" t="n"/>
      <c r="P52" s="112" t="n"/>
    </row>
    <row r="53">
      <c r="A53" s="246" t="n"/>
      <c r="B53" s="112" t="n"/>
      <c r="C53" s="247" t="n"/>
      <c r="D53" s="112" t="n"/>
      <c r="E53" s="112" t="n"/>
      <c r="F53" s="112" t="n"/>
      <c r="G53" s="112" t="n"/>
      <c r="H53" s="112" t="n"/>
      <c r="I53" s="112" t="n"/>
      <c r="J53" s="557" t="n"/>
      <c r="K53" s="558" t="n"/>
      <c r="L53" s="558" t="n"/>
      <c r="M53" s="558" t="n"/>
      <c r="N53" s="112" t="n"/>
      <c r="O53" s="112" t="n"/>
      <c r="P53" s="112" t="n"/>
    </row>
    <row r="54">
      <c r="A54" s="246" t="n"/>
      <c r="B54" s="112" t="n"/>
      <c r="C54" s="247" t="n"/>
      <c r="D54" s="112" t="n"/>
      <c r="E54" s="112" t="n"/>
      <c r="F54" s="112" t="n"/>
      <c r="G54" s="112" t="n"/>
      <c r="H54" s="112" t="n"/>
      <c r="I54" s="112" t="n"/>
      <c r="J54" s="557" t="n"/>
      <c r="K54" s="558" t="n"/>
      <c r="L54" s="558" t="n"/>
      <c r="M54" s="558" t="n"/>
      <c r="N54" s="112" t="n"/>
      <c r="O54" s="112" t="n"/>
      <c r="P54" s="112" t="n"/>
    </row>
    <row r="55">
      <c r="A55" s="246" t="n"/>
      <c r="B55" s="112" t="n"/>
      <c r="C55" s="247" t="n"/>
      <c r="D55" s="112" t="n"/>
      <c r="E55" s="112" t="n"/>
      <c r="F55" s="112" t="n"/>
      <c r="G55" s="112" t="n"/>
      <c r="H55" s="112" t="n"/>
      <c r="I55" s="112" t="n"/>
      <c r="J55" s="557" t="n"/>
      <c r="K55" s="558" t="n"/>
      <c r="L55" s="558" t="n"/>
      <c r="M55" s="558" t="n"/>
      <c r="N55" s="112" t="n"/>
      <c r="O55" s="112" t="n"/>
      <c r="P55" s="112" t="n"/>
    </row>
    <row r="56">
      <c r="A56" s="246" t="n"/>
      <c r="B56" s="112" t="n"/>
      <c r="C56" s="247" t="n"/>
      <c r="D56" s="112" t="n"/>
      <c r="E56" s="112" t="n"/>
      <c r="F56" s="112" t="n"/>
      <c r="G56" s="112" t="n"/>
      <c r="H56" s="112" t="n"/>
      <c r="I56" s="112" t="n"/>
      <c r="J56" s="557" t="n"/>
      <c r="K56" s="558" t="n"/>
      <c r="L56" s="558" t="n"/>
      <c r="M56" s="558" t="n"/>
      <c r="N56" s="112" t="n"/>
      <c r="O56" s="112" t="n"/>
      <c r="P56" s="112" t="n"/>
    </row>
    <row r="57">
      <c r="A57" s="246" t="n"/>
      <c r="B57" s="112" t="n"/>
      <c r="C57" s="247" t="n"/>
      <c r="D57" s="112" t="n"/>
      <c r="E57" s="112" t="n"/>
      <c r="F57" s="112" t="n"/>
      <c r="G57" s="112" t="n"/>
      <c r="H57" s="112" t="n"/>
      <c r="I57" s="112" t="n"/>
      <c r="J57" s="557" t="n"/>
      <c r="K57" s="558" t="n"/>
      <c r="L57" s="558" t="n"/>
      <c r="M57" s="558" t="n"/>
      <c r="N57" s="112" t="n"/>
      <c r="O57" s="112" t="n"/>
      <c r="P57" s="112" t="n"/>
    </row>
    <row r="58">
      <c r="A58" s="246" t="n"/>
      <c r="B58" s="112" t="n"/>
      <c r="C58" s="247" t="n"/>
      <c r="D58" s="112" t="n"/>
      <c r="E58" s="112" t="n"/>
      <c r="F58" s="112" t="n"/>
      <c r="G58" s="112" t="n"/>
      <c r="H58" s="112" t="n"/>
      <c r="I58" s="112" t="n"/>
      <c r="J58" s="557" t="n"/>
      <c r="K58" s="558" t="n"/>
      <c r="L58" s="558" t="n"/>
      <c r="M58" s="558" t="n"/>
      <c r="N58" s="112" t="n"/>
      <c r="O58" s="112" t="n"/>
      <c r="P58" s="112" t="n"/>
    </row>
    <row r="59">
      <c r="A59" s="246" t="n"/>
      <c r="B59" s="112" t="n"/>
      <c r="C59" s="247" t="n"/>
      <c r="D59" s="112" t="n"/>
      <c r="E59" s="112" t="n"/>
      <c r="F59" s="112" t="n"/>
      <c r="G59" s="112" t="n"/>
      <c r="H59" s="112" t="n"/>
      <c r="I59" s="112" t="n"/>
      <c r="J59" s="557" t="n"/>
      <c r="K59" s="558" t="n"/>
      <c r="L59" s="558" t="n"/>
      <c r="M59" s="558" t="n"/>
      <c r="N59" s="112" t="n"/>
      <c r="O59" s="112" t="n"/>
      <c r="P59" s="112" t="n"/>
    </row>
    <row r="60">
      <c r="A60" s="246" t="n"/>
      <c r="B60" s="112" t="n"/>
      <c r="C60" s="247" t="n"/>
      <c r="D60" s="112" t="n"/>
      <c r="E60" s="112" t="n"/>
      <c r="F60" s="112" t="n"/>
      <c r="G60" s="112" t="n"/>
      <c r="H60" s="112" t="n"/>
      <c r="I60" s="112" t="n"/>
      <c r="J60" s="557" t="n"/>
      <c r="K60" s="558" t="n"/>
      <c r="L60" s="558" t="n"/>
      <c r="M60" s="558" t="n"/>
      <c r="N60" s="112" t="n"/>
      <c r="O60" s="112" t="n"/>
      <c r="P60" s="112" t="n"/>
    </row>
    <row r="61">
      <c r="A61" s="246" t="n"/>
      <c r="B61" s="112" t="n"/>
      <c r="C61" s="247" t="n"/>
      <c r="D61" s="112" t="n"/>
      <c r="E61" s="112" t="n"/>
      <c r="F61" s="112" t="n"/>
      <c r="G61" s="112" t="n"/>
      <c r="H61" s="112" t="n"/>
      <c r="I61" s="112" t="n"/>
      <c r="J61" s="557" t="n"/>
      <c r="K61" s="558" t="n"/>
      <c r="L61" s="558" t="n"/>
      <c r="M61" s="558" t="n"/>
      <c r="N61" s="112" t="n"/>
      <c r="O61" s="112" t="n"/>
      <c r="P61" s="112" t="n"/>
    </row>
    <row r="62">
      <c r="A62" s="246" t="n"/>
      <c r="B62" s="112" t="n"/>
      <c r="C62" s="247" t="n"/>
      <c r="D62" s="112" t="n"/>
      <c r="E62" s="112" t="n"/>
      <c r="F62" s="112" t="n"/>
      <c r="G62" s="112" t="n"/>
      <c r="H62" s="112" t="n"/>
      <c r="I62" s="112" t="n"/>
      <c r="J62" s="557" t="n"/>
      <c r="K62" s="558" t="n"/>
      <c r="L62" s="558" t="n"/>
      <c r="M62" s="558" t="n"/>
      <c r="N62" s="112" t="n"/>
      <c r="O62" s="112" t="n"/>
      <c r="P62" s="112" t="n"/>
    </row>
    <row r="63">
      <c r="A63" s="246" t="n"/>
      <c r="B63" s="112" t="n"/>
      <c r="C63" s="247" t="n"/>
      <c r="D63" s="112" t="n"/>
      <c r="E63" s="112" t="n"/>
      <c r="F63" s="112" t="n"/>
      <c r="G63" s="112" t="n"/>
      <c r="H63" s="112" t="n"/>
      <c r="I63" s="112" t="n"/>
      <c r="J63" s="557" t="n"/>
      <c r="K63" s="558" t="n"/>
      <c r="L63" s="558" t="n"/>
      <c r="M63" s="558" t="n"/>
      <c r="N63" s="112" t="n"/>
      <c r="O63" s="112" t="n"/>
      <c r="P63" s="112" t="n"/>
    </row>
    <row r="64">
      <c r="A64" s="246" t="n"/>
      <c r="B64" s="112" t="n"/>
      <c r="C64" s="247" t="n"/>
      <c r="D64" s="112" t="n"/>
      <c r="E64" s="112" t="n"/>
      <c r="F64" s="112" t="n"/>
      <c r="G64" s="112" t="n"/>
      <c r="H64" s="112" t="n"/>
      <c r="I64" s="112" t="n"/>
      <c r="J64" s="557" t="n"/>
      <c r="K64" s="558" t="n"/>
      <c r="L64" s="558" t="n"/>
      <c r="M64" s="558" t="n"/>
      <c r="N64" s="112" t="n"/>
      <c r="O64" s="112" t="n"/>
      <c r="P64" s="112" t="n"/>
    </row>
    <row r="65">
      <c r="A65" s="246" t="n"/>
      <c r="B65" s="112" t="n"/>
      <c r="C65" s="247" t="n"/>
      <c r="D65" s="112" t="n"/>
      <c r="E65" s="112" t="n"/>
      <c r="F65" s="112" t="n"/>
      <c r="G65" s="112" t="n"/>
      <c r="H65" s="112" t="n"/>
      <c r="I65" s="112" t="n"/>
      <c r="J65" s="557" t="n"/>
      <c r="K65" s="558" t="n"/>
      <c r="L65" s="558" t="n"/>
      <c r="M65" s="558" t="n"/>
      <c r="N65" s="112" t="n"/>
      <c r="O65" s="112" t="n"/>
      <c r="P65" s="112" t="n"/>
    </row>
    <row r="66">
      <c r="A66" s="246" t="n"/>
      <c r="B66" s="112" t="n"/>
      <c r="C66" s="247" t="n"/>
      <c r="D66" s="112" t="n"/>
      <c r="E66" s="112" t="n"/>
      <c r="F66" s="112" t="n"/>
      <c r="G66" s="112" t="n"/>
      <c r="H66" s="112" t="n"/>
      <c r="I66" s="112" t="n"/>
      <c r="J66" s="557" t="n"/>
      <c r="K66" s="558" t="n"/>
      <c r="L66" s="558" t="n"/>
      <c r="M66" s="558" t="n"/>
      <c r="N66" s="112" t="n"/>
      <c r="O66" s="112" t="n"/>
      <c r="P66" s="112" t="n"/>
    </row>
    <row r="67">
      <c r="A67" s="246" t="n"/>
      <c r="B67" s="112" t="n"/>
      <c r="C67" s="247" t="n"/>
      <c r="D67" s="112" t="n"/>
      <c r="E67" s="112" t="n"/>
      <c r="F67" s="112" t="n"/>
      <c r="G67" s="112" t="n"/>
      <c r="H67" s="112" t="n"/>
      <c r="I67" s="112" t="n"/>
      <c r="J67" s="557" t="n"/>
      <c r="K67" s="558" t="n"/>
      <c r="L67" s="558" t="n"/>
      <c r="M67" s="558" t="n"/>
      <c r="N67" s="112" t="n"/>
      <c r="O67" s="112" t="n"/>
      <c r="P67" s="112" t="n"/>
    </row>
    <row r="68">
      <c r="A68" s="246" t="n"/>
      <c r="B68" s="112" t="n"/>
      <c r="C68" s="247" t="n"/>
      <c r="D68" s="112" t="n"/>
      <c r="E68" s="112" t="n"/>
      <c r="F68" s="112" t="n"/>
      <c r="G68" s="112" t="n"/>
      <c r="H68" s="112" t="n"/>
      <c r="I68" s="112" t="n"/>
      <c r="J68" s="557" t="n"/>
      <c r="K68" s="558" t="n"/>
      <c r="L68" s="558" t="n"/>
      <c r="M68" s="558" t="n"/>
      <c r="N68" s="112" t="n"/>
      <c r="O68" s="112" t="n"/>
      <c r="P68" s="112" t="n"/>
    </row>
    <row r="69">
      <c r="A69" s="246" t="n"/>
      <c r="B69" s="112" t="n"/>
      <c r="C69" s="247" t="n"/>
      <c r="D69" s="112" t="n"/>
      <c r="E69" s="112" t="n"/>
      <c r="F69" s="112" t="n"/>
      <c r="G69" s="112" t="n"/>
      <c r="H69" s="112" t="n"/>
      <c r="I69" s="112" t="n"/>
      <c r="J69" s="557" t="n"/>
      <c r="K69" s="558" t="n"/>
      <c r="L69" s="558" t="n"/>
      <c r="M69" s="558" t="n"/>
      <c r="N69" s="112" t="n"/>
      <c r="O69" s="112" t="n"/>
      <c r="P69" s="112" t="n"/>
    </row>
    <row r="70">
      <c r="A70" s="246" t="n"/>
      <c r="B70" s="112" t="n"/>
      <c r="C70" s="247" t="n"/>
      <c r="D70" s="112" t="n"/>
      <c r="E70" s="112" t="n"/>
      <c r="F70" s="112" t="n"/>
      <c r="G70" s="112" t="n"/>
      <c r="H70" s="112" t="n"/>
      <c r="I70" s="112" t="n"/>
      <c r="J70" s="557" t="n"/>
      <c r="K70" s="558" t="n"/>
      <c r="L70" s="558" t="n"/>
      <c r="M70" s="558" t="n"/>
      <c r="N70" s="112" t="n"/>
      <c r="O70" s="112" t="n"/>
      <c r="P70" s="112" t="n"/>
    </row>
    <row r="71">
      <c r="A71" s="246" t="n"/>
      <c r="B71" s="112" t="n"/>
      <c r="C71" s="247" t="n"/>
      <c r="D71" s="112" t="n"/>
      <c r="E71" s="112" t="n"/>
      <c r="F71" s="112" t="n"/>
      <c r="G71" s="112" t="n"/>
      <c r="H71" s="112" t="n"/>
      <c r="I71" s="112" t="n"/>
      <c r="J71" s="557" t="n"/>
      <c r="K71" s="558" t="n"/>
      <c r="L71" s="558" t="n"/>
      <c r="M71" s="558" t="n"/>
      <c r="N71" s="112" t="n"/>
      <c r="O71" s="112" t="n"/>
      <c r="P71" s="112" t="n"/>
    </row>
    <row r="72">
      <c r="A72" s="246" t="n"/>
      <c r="B72" s="112" t="n"/>
      <c r="C72" s="247" t="n"/>
      <c r="D72" s="112" t="n"/>
      <c r="E72" s="112" t="n"/>
      <c r="F72" s="112" t="n"/>
      <c r="G72" s="112" t="n"/>
      <c r="H72" s="112" t="n"/>
      <c r="I72" s="112" t="n"/>
      <c r="J72" s="557" t="n"/>
      <c r="K72" s="558" t="n"/>
      <c r="L72" s="558" t="n"/>
      <c r="M72" s="558" t="n"/>
      <c r="N72" s="112" t="n"/>
      <c r="O72" s="112" t="n"/>
      <c r="P72" s="112" t="n"/>
    </row>
    <row r="73">
      <c r="A73" s="246" t="n"/>
      <c r="B73" s="112" t="n"/>
      <c r="C73" s="247" t="n"/>
      <c r="D73" s="112" t="n"/>
      <c r="E73" s="112" t="n"/>
      <c r="F73" s="112" t="n"/>
      <c r="G73" s="112" t="n"/>
      <c r="H73" s="112" t="n"/>
      <c r="I73" s="112" t="n"/>
      <c r="J73" s="557" t="n"/>
      <c r="K73" s="558" t="n"/>
      <c r="L73" s="558" t="n"/>
      <c r="M73" s="558" t="n"/>
      <c r="N73" s="112" t="n"/>
      <c r="O73" s="112" t="n"/>
      <c r="P73" s="112" t="n"/>
    </row>
    <row r="74">
      <c r="A74" s="246" t="n"/>
      <c r="B74" s="112" t="n"/>
      <c r="C74" s="247" t="n"/>
      <c r="D74" s="112" t="n"/>
      <c r="E74" s="112" t="n"/>
      <c r="F74" s="112" t="n"/>
      <c r="G74" s="112" t="n"/>
      <c r="H74" s="112" t="n"/>
      <c r="I74" s="112" t="n"/>
      <c r="J74" s="557" t="n"/>
      <c r="K74" s="558" t="n"/>
      <c r="L74" s="558" t="n"/>
      <c r="M74" s="558" t="n"/>
      <c r="N74" s="112" t="n"/>
      <c r="O74" s="112" t="n"/>
      <c r="P74" s="112" t="n"/>
    </row>
    <row r="75">
      <c r="A75" s="246" t="n"/>
      <c r="B75" s="112" t="n"/>
      <c r="C75" s="247" t="n"/>
      <c r="D75" s="112" t="n"/>
      <c r="E75" s="112" t="n"/>
      <c r="F75" s="112" t="n"/>
      <c r="G75" s="112" t="n"/>
      <c r="H75" s="112" t="n"/>
      <c r="I75" s="112" t="n"/>
      <c r="J75" s="557" t="n"/>
      <c r="K75" s="558" t="n"/>
      <c r="L75" s="558" t="n"/>
      <c r="M75" s="558" t="n"/>
      <c r="N75" s="112" t="n"/>
      <c r="O75" s="112" t="n"/>
      <c r="P75" s="112" t="n"/>
    </row>
    <row r="76">
      <c r="A76" s="246" t="n"/>
      <c r="B76" s="112" t="n"/>
      <c r="C76" s="247" t="n"/>
      <c r="D76" s="112" t="n"/>
      <c r="E76" s="112" t="n"/>
      <c r="F76" s="112" t="n"/>
      <c r="G76" s="112" t="n"/>
      <c r="H76" s="112" t="n"/>
      <c r="I76" s="112" t="n"/>
      <c r="J76" s="557" t="n"/>
      <c r="K76" s="558" t="n"/>
      <c r="L76" s="558" t="n"/>
      <c r="M76" s="558" t="n"/>
      <c r="N76" s="112" t="n"/>
      <c r="O76" s="112" t="n"/>
      <c r="P76" s="112" t="n"/>
    </row>
    <row r="77">
      <c r="A77" s="246" t="n"/>
      <c r="B77" s="112" t="n"/>
      <c r="C77" s="247" t="n"/>
      <c r="D77" s="112" t="n"/>
      <c r="E77" s="112" t="n"/>
      <c r="F77" s="112" t="n"/>
      <c r="G77" s="112" t="n"/>
      <c r="H77" s="112" t="n"/>
      <c r="I77" s="112" t="n"/>
      <c r="J77" s="557" t="n"/>
      <c r="K77" s="558" t="n"/>
      <c r="L77" s="558" t="n"/>
      <c r="M77" s="558" t="n"/>
      <c r="N77" s="112" t="n"/>
      <c r="O77" s="112" t="n"/>
      <c r="P77" s="112" t="n"/>
    </row>
    <row r="78">
      <c r="A78" s="246" t="n"/>
      <c r="B78" s="112" t="n"/>
      <c r="C78" s="247" t="n"/>
      <c r="D78" s="112" t="n"/>
      <c r="E78" s="112" t="n"/>
      <c r="F78" s="112" t="n"/>
      <c r="G78" s="112" t="n"/>
      <c r="H78" s="112" t="n"/>
      <c r="I78" s="112" t="n"/>
      <c r="J78" s="557" t="n"/>
      <c r="K78" s="558" t="n"/>
      <c r="L78" s="558" t="n"/>
      <c r="M78" s="558" t="n"/>
      <c r="N78" s="112" t="n"/>
      <c r="O78" s="112" t="n"/>
      <c r="P78" s="112" t="n"/>
    </row>
    <row r="79">
      <c r="A79" s="246" t="n"/>
      <c r="B79" s="112" t="n"/>
      <c r="C79" s="247" t="n"/>
      <c r="D79" s="112" t="n"/>
      <c r="E79" s="112" t="n"/>
      <c r="F79" s="112" t="n"/>
      <c r="G79" s="112" t="n"/>
      <c r="H79" s="112" t="n"/>
      <c r="I79" s="112" t="n"/>
      <c r="J79" s="557" t="n"/>
      <c r="K79" s="558" t="n"/>
      <c r="L79" s="558" t="n"/>
      <c r="M79" s="558" t="n"/>
      <c r="N79" s="112" t="n"/>
      <c r="O79" s="112" t="n"/>
      <c r="P79" s="112" t="n"/>
    </row>
    <row r="80">
      <c r="A80" s="246" t="n"/>
      <c r="B80" s="112" t="n"/>
      <c r="C80" s="247" t="n"/>
      <c r="D80" s="112" t="n"/>
      <c r="E80" s="112" t="n"/>
      <c r="F80" s="112" t="n"/>
      <c r="G80" s="112" t="n"/>
      <c r="H80" s="112" t="n"/>
      <c r="I80" s="112" t="n"/>
      <c r="J80" s="557" t="n"/>
      <c r="K80" s="558" t="n"/>
      <c r="L80" s="558" t="n"/>
      <c r="M80" s="558" t="n"/>
      <c r="N80" s="112" t="n"/>
      <c r="O80" s="112" t="n"/>
      <c r="P80" s="112" t="n"/>
    </row>
    <row r="81">
      <c r="A81" s="246" t="n"/>
      <c r="B81" s="112" t="n"/>
      <c r="C81" s="247" t="n"/>
      <c r="D81" s="112" t="n"/>
      <c r="E81" s="112" t="n"/>
      <c r="F81" s="112" t="n"/>
      <c r="G81" s="112" t="n"/>
      <c r="H81" s="112" t="n"/>
      <c r="I81" s="112" t="n"/>
      <c r="J81" s="557" t="n"/>
      <c r="K81" s="558" t="n"/>
      <c r="L81" s="558" t="n"/>
      <c r="M81" s="558" t="n"/>
      <c r="N81" s="112" t="n"/>
      <c r="O81" s="112" t="n"/>
      <c r="P81" s="112" t="n"/>
    </row>
    <row r="82">
      <c r="A82" s="246" t="n"/>
      <c r="B82" s="112" t="n"/>
      <c r="C82" s="247" t="n"/>
      <c r="D82" s="112" t="n"/>
      <c r="E82" s="112" t="n"/>
      <c r="F82" s="112" t="n"/>
      <c r="G82" s="112" t="n"/>
      <c r="H82" s="112" t="n"/>
      <c r="I82" s="112" t="n"/>
      <c r="J82" s="557" t="n"/>
      <c r="K82" s="558" t="n"/>
      <c r="L82" s="558" t="n"/>
      <c r="M82" s="558" t="n"/>
      <c r="N82" s="112" t="n"/>
      <c r="O82" s="112" t="n"/>
      <c r="P82" s="112" t="n"/>
    </row>
    <row r="83">
      <c r="A83" s="246" t="n"/>
      <c r="B83" s="112" t="n"/>
      <c r="C83" s="247" t="n"/>
      <c r="D83" s="112" t="n"/>
      <c r="E83" s="112" t="n"/>
      <c r="F83" s="112" t="n"/>
      <c r="G83" s="112" t="n"/>
      <c r="H83" s="112" t="n"/>
      <c r="I83" s="112" t="n"/>
      <c r="J83" s="557" t="n"/>
      <c r="K83" s="558" t="n"/>
      <c r="L83" s="558" t="n"/>
      <c r="M83" s="558" t="n"/>
      <c r="N83" s="112" t="n"/>
      <c r="O83" s="112" t="n"/>
      <c r="P83" s="112" t="n"/>
    </row>
    <row r="84">
      <c r="A84" s="246" t="n"/>
      <c r="B84" s="112" t="n"/>
      <c r="C84" s="247" t="n"/>
      <c r="D84" s="112" t="n"/>
      <c r="E84" s="112" t="n"/>
      <c r="F84" s="112" t="n"/>
      <c r="G84" s="112" t="n"/>
      <c r="H84" s="112" t="n"/>
      <c r="I84" s="112" t="n"/>
      <c r="J84" s="557" t="n"/>
      <c r="K84" s="558" t="n"/>
      <c r="L84" s="558" t="n"/>
      <c r="M84" s="558" t="n"/>
      <c r="N84" s="112" t="n"/>
      <c r="O84" s="112" t="n"/>
      <c r="P84" s="112" t="n"/>
    </row>
    <row r="85">
      <c r="A85" s="246" t="n"/>
      <c r="B85" s="112" t="n"/>
      <c r="C85" s="247" t="n"/>
      <c r="D85" s="112" t="n"/>
      <c r="E85" s="112" t="n"/>
      <c r="F85" s="112" t="n"/>
      <c r="G85" s="112" t="n"/>
      <c r="H85" s="112" t="n"/>
      <c r="I85" s="112" t="n"/>
      <c r="J85" s="557" t="n"/>
      <c r="K85" s="558" t="n"/>
      <c r="L85" s="558" t="n"/>
      <c r="M85" s="558" t="n"/>
      <c r="N85" s="112" t="n"/>
      <c r="O85" s="112" t="n"/>
      <c r="P85" s="112" t="n"/>
    </row>
    <row r="86">
      <c r="A86" s="246" t="n"/>
      <c r="B86" s="112" t="n"/>
      <c r="C86" s="247" t="n"/>
      <c r="D86" s="112" t="n"/>
      <c r="E86" s="112" t="n"/>
      <c r="F86" s="112" t="n"/>
      <c r="G86" s="112" t="n"/>
      <c r="H86" s="112" t="n"/>
      <c r="I86" s="112" t="n"/>
      <c r="J86" s="557" t="n"/>
      <c r="K86" s="558" t="n"/>
      <c r="L86" s="558" t="n"/>
      <c r="M86" s="558" t="n"/>
      <c r="N86" s="112" t="n"/>
      <c r="O86" s="112" t="n"/>
      <c r="P86" s="112" t="n"/>
    </row>
    <row r="87">
      <c r="A87" s="246" t="n"/>
      <c r="B87" s="112" t="n"/>
      <c r="C87" s="247" t="n"/>
      <c r="D87" s="112" t="n"/>
      <c r="E87" s="112" t="n"/>
      <c r="F87" s="112" t="n"/>
      <c r="G87" s="112" t="n"/>
      <c r="H87" s="112" t="n"/>
      <c r="I87" s="112" t="n"/>
      <c r="J87" s="557" t="n"/>
      <c r="K87" s="558" t="n"/>
      <c r="L87" s="558" t="n"/>
      <c r="M87" s="558" t="n"/>
      <c r="N87" s="112" t="n"/>
      <c r="O87" s="112" t="n"/>
      <c r="P87" s="112" t="n"/>
    </row>
    <row r="88">
      <c r="A88" s="246" t="n"/>
      <c r="B88" s="112" t="n"/>
      <c r="C88" s="247" t="n"/>
      <c r="D88" s="112" t="n"/>
      <c r="E88" s="112" t="n"/>
      <c r="F88" s="112" t="n"/>
      <c r="G88" s="112" t="n"/>
      <c r="H88" s="112" t="n"/>
      <c r="I88" s="112" t="n"/>
      <c r="J88" s="557" t="n"/>
      <c r="K88" s="558" t="n"/>
      <c r="L88" s="558" t="n"/>
      <c r="M88" s="558" t="n"/>
      <c r="N88" s="112" t="n"/>
      <c r="O88" s="112" t="n"/>
      <c r="P88" s="112" t="n"/>
    </row>
    <row r="89">
      <c r="A89" s="246" t="n"/>
      <c r="B89" s="112" t="n"/>
      <c r="C89" s="247" t="n"/>
      <c r="D89" s="112" t="n"/>
      <c r="E89" s="112" t="n"/>
      <c r="F89" s="112" t="n"/>
      <c r="G89" s="112" t="n"/>
      <c r="H89" s="112" t="n"/>
      <c r="I89" s="112" t="n"/>
      <c r="J89" s="557" t="n"/>
      <c r="K89" s="558" t="n"/>
      <c r="L89" s="558" t="n"/>
      <c r="M89" s="558" t="n"/>
      <c r="N89" s="112" t="n"/>
      <c r="O89" s="112" t="n"/>
      <c r="P89" s="112" t="n"/>
    </row>
    <row r="90">
      <c r="A90" s="246" t="n"/>
      <c r="B90" s="112" t="n"/>
      <c r="C90" s="247" t="n"/>
      <c r="D90" s="112" t="n"/>
      <c r="E90" s="112" t="n"/>
      <c r="F90" s="112" t="n"/>
      <c r="G90" s="112" t="n"/>
      <c r="H90" s="112" t="n"/>
      <c r="I90" s="112" t="n"/>
      <c r="J90" s="557" t="n"/>
      <c r="K90" s="558" t="n"/>
      <c r="L90" s="558" t="n"/>
      <c r="M90" s="558" t="n"/>
      <c r="N90" s="112" t="n"/>
      <c r="O90" s="112" t="n"/>
      <c r="P90" s="112" t="n"/>
    </row>
    <row r="91">
      <c r="A91" s="246" t="n"/>
      <c r="B91" s="112" t="n"/>
      <c r="C91" s="247" t="n"/>
      <c r="D91" s="112" t="n"/>
      <c r="E91" s="112" t="n"/>
      <c r="F91" s="112" t="n"/>
      <c r="G91" s="112" t="n"/>
      <c r="H91" s="112" t="n"/>
      <c r="I91" s="112" t="n"/>
      <c r="J91" s="557" t="n"/>
      <c r="K91" s="558" t="n"/>
      <c r="L91" s="558" t="n"/>
      <c r="M91" s="558" t="n"/>
      <c r="N91" s="112" t="n"/>
      <c r="O91" s="112" t="n"/>
      <c r="P91" s="112" t="n"/>
    </row>
    <row r="92">
      <c r="A92" s="246" t="n"/>
      <c r="B92" s="112" t="n"/>
      <c r="C92" s="247" t="n"/>
      <c r="D92" s="112" t="n"/>
      <c r="E92" s="112" t="n"/>
      <c r="F92" s="112" t="n"/>
      <c r="G92" s="112" t="n"/>
      <c r="H92" s="112" t="n"/>
      <c r="I92" s="112" t="n"/>
      <c r="J92" s="557" t="n"/>
      <c r="K92" s="558" t="n"/>
      <c r="L92" s="558" t="n"/>
      <c r="M92" s="558" t="n"/>
      <c r="N92" s="112" t="n"/>
      <c r="O92" s="112" t="n"/>
      <c r="P92" s="112" t="n"/>
    </row>
    <row r="93">
      <c r="A93" s="246" t="n"/>
      <c r="B93" s="112" t="n"/>
      <c r="C93" s="247" t="n"/>
      <c r="D93" s="112" t="n"/>
      <c r="E93" s="112" t="n"/>
      <c r="F93" s="112" t="n"/>
      <c r="G93" s="112" t="n"/>
      <c r="H93" s="112" t="n"/>
      <c r="I93" s="112" t="n"/>
      <c r="J93" s="557" t="n"/>
      <c r="K93" s="558" t="n"/>
      <c r="L93" s="558" t="n"/>
      <c r="M93" s="558" t="n"/>
      <c r="N93" s="112" t="n"/>
      <c r="O93" s="112" t="n"/>
      <c r="P93" s="112" t="n"/>
    </row>
    <row r="94">
      <c r="A94" s="246" t="n"/>
      <c r="B94" s="112" t="n"/>
      <c r="C94" s="247" t="n"/>
      <c r="D94" s="112" t="n"/>
      <c r="E94" s="112" t="n"/>
      <c r="F94" s="112" t="n"/>
      <c r="G94" s="112" t="n"/>
      <c r="H94" s="112" t="n"/>
      <c r="I94" s="112" t="n"/>
      <c r="J94" s="557" t="n"/>
      <c r="K94" s="558" t="n"/>
      <c r="L94" s="558" t="n"/>
      <c r="M94" s="558" t="n"/>
      <c r="N94" s="112" t="n"/>
      <c r="O94" s="112" t="n"/>
      <c r="P94" s="112" t="n"/>
    </row>
    <row r="95">
      <c r="A95" s="246" t="n"/>
      <c r="B95" s="112" t="n"/>
      <c r="C95" s="247" t="n"/>
      <c r="D95" s="112" t="n"/>
      <c r="E95" s="112" t="n"/>
      <c r="F95" s="112" t="n"/>
      <c r="G95" s="112" t="n"/>
      <c r="H95" s="112" t="n"/>
      <c r="I95" s="112" t="n"/>
      <c r="J95" s="557" t="n"/>
      <c r="K95" s="558" t="n"/>
      <c r="L95" s="558" t="n"/>
      <c r="M95" s="558" t="n"/>
      <c r="N95" s="112" t="n"/>
      <c r="O95" s="112" t="n"/>
      <c r="P95" s="112" t="n"/>
    </row>
    <row r="96">
      <c r="A96" s="246" t="n"/>
      <c r="B96" s="112" t="n"/>
      <c r="C96" s="247" t="n"/>
      <c r="D96" s="112" t="n"/>
      <c r="E96" s="112" t="n"/>
      <c r="F96" s="112" t="n"/>
      <c r="G96" s="112" t="n"/>
      <c r="H96" s="112" t="n"/>
      <c r="I96" s="112" t="n"/>
      <c r="J96" s="557" t="n"/>
      <c r="K96" s="558" t="n"/>
      <c r="L96" s="558" t="n"/>
      <c r="M96" s="558" t="n"/>
      <c r="N96" s="112" t="n"/>
      <c r="O96" s="112" t="n"/>
      <c r="P96" s="112" t="n"/>
    </row>
    <row r="97">
      <c r="A97" s="246" t="n"/>
      <c r="B97" s="112" t="n"/>
      <c r="C97" s="247" t="n"/>
      <c r="D97" s="112" t="n"/>
      <c r="E97" s="112" t="n"/>
      <c r="F97" s="112" t="n"/>
      <c r="G97" s="112" t="n"/>
      <c r="H97" s="112" t="n"/>
      <c r="I97" s="112" t="n"/>
      <c r="J97" s="557" t="n"/>
      <c r="K97" s="558" t="n"/>
      <c r="L97" s="558" t="n"/>
      <c r="M97" s="558" t="n"/>
      <c r="N97" s="112" t="n"/>
      <c r="O97" s="112" t="n"/>
      <c r="P97" s="112" t="n"/>
    </row>
    <row r="98">
      <c r="A98" s="246" t="n"/>
      <c r="B98" s="112" t="n"/>
      <c r="C98" s="247" t="n"/>
      <c r="D98" s="112" t="n"/>
      <c r="E98" s="112" t="n"/>
      <c r="F98" s="112" t="n"/>
      <c r="G98" s="112" t="n"/>
      <c r="H98" s="112" t="n"/>
      <c r="I98" s="112" t="n"/>
      <c r="J98" s="557" t="n"/>
      <c r="K98" s="558" t="n"/>
      <c r="L98" s="558" t="n"/>
      <c r="M98" s="558" t="n"/>
      <c r="N98" s="112" t="n"/>
      <c r="O98" s="112" t="n"/>
      <c r="P98" s="112" t="n"/>
    </row>
    <row r="99">
      <c r="A99" s="246" t="n"/>
      <c r="B99" s="112" t="n"/>
      <c r="C99" s="247" t="n"/>
      <c r="D99" s="112" t="n"/>
      <c r="E99" s="112" t="n"/>
      <c r="F99" s="112" t="n"/>
      <c r="G99" s="112" t="n"/>
      <c r="H99" s="112" t="n"/>
      <c r="I99" s="112" t="n"/>
      <c r="J99" s="557" t="n"/>
      <c r="K99" s="558" t="n"/>
      <c r="L99" s="558" t="n"/>
      <c r="M99" s="558" t="n"/>
      <c r="N99" s="112" t="n"/>
      <c r="O99" s="112" t="n"/>
      <c r="P99" s="112" t="n"/>
    </row>
    <row r="100">
      <c r="A100" s="246" t="n"/>
      <c r="B100" s="112" t="n"/>
      <c r="C100" s="247" t="n"/>
      <c r="D100" s="112" t="n"/>
      <c r="E100" s="112" t="n"/>
      <c r="F100" s="112" t="n"/>
      <c r="G100" s="112" t="n"/>
      <c r="H100" s="112" t="n"/>
      <c r="I100" s="112" t="n"/>
      <c r="J100" s="557" t="n"/>
      <c r="K100" s="558" t="n"/>
      <c r="L100" s="558" t="n"/>
      <c r="M100" s="558" t="n"/>
      <c r="N100" s="112" t="n"/>
      <c r="O100" s="112" t="n"/>
      <c r="P100" s="112" t="n"/>
    </row>
    <row r="101">
      <c r="A101" s="246" t="n"/>
      <c r="B101" s="112" t="n"/>
      <c r="C101" s="247" t="n"/>
      <c r="D101" s="112" t="n"/>
      <c r="E101" s="112" t="n"/>
      <c r="F101" s="112" t="n"/>
      <c r="G101" s="112" t="n"/>
      <c r="H101" s="112" t="n"/>
      <c r="I101" s="112" t="n"/>
      <c r="J101" s="557" t="n"/>
      <c r="K101" s="558" t="n"/>
      <c r="L101" s="558" t="n"/>
      <c r="M101" s="558" t="n"/>
      <c r="N101" s="112" t="n"/>
      <c r="O101" s="112" t="n"/>
      <c r="P101" s="112" t="n"/>
    </row>
    <row r="102">
      <c r="A102" s="246" t="n"/>
      <c r="B102" s="112" t="n"/>
      <c r="C102" s="247" t="n"/>
      <c r="D102" s="112" t="n"/>
      <c r="E102" s="112" t="n"/>
      <c r="F102" s="112" t="n"/>
      <c r="G102" s="112" t="n"/>
      <c r="H102" s="112" t="n"/>
      <c r="I102" s="112" t="n"/>
      <c r="J102" s="557" t="n"/>
      <c r="K102" s="558" t="n"/>
      <c r="L102" s="558" t="n"/>
      <c r="M102" s="558" t="n"/>
      <c r="N102" s="112" t="n"/>
      <c r="O102" s="112" t="n"/>
      <c r="P102" s="112" t="n"/>
    </row>
    <row r="103">
      <c r="A103" s="246" t="n"/>
      <c r="B103" s="112" t="n"/>
      <c r="C103" s="247" t="n"/>
      <c r="D103" s="112" t="n"/>
      <c r="E103" s="112" t="n"/>
      <c r="F103" s="112" t="n"/>
      <c r="G103" s="112" t="n"/>
      <c r="H103" s="112" t="n"/>
      <c r="I103" s="112" t="n"/>
      <c r="J103" s="557" t="n"/>
      <c r="K103" s="558" t="n"/>
      <c r="L103" s="558" t="n"/>
      <c r="M103" s="558" t="n"/>
      <c r="N103" s="112" t="n"/>
      <c r="O103" s="112" t="n"/>
      <c r="P103" s="112" t="n"/>
    </row>
    <row r="104">
      <c r="A104" s="246" t="n"/>
      <c r="B104" s="112" t="n"/>
      <c r="C104" s="247" t="n"/>
      <c r="D104" s="112" t="n"/>
      <c r="E104" s="112" t="n"/>
      <c r="F104" s="112" t="n"/>
      <c r="G104" s="112" t="n"/>
      <c r="H104" s="112" t="n"/>
      <c r="I104" s="112" t="n"/>
      <c r="J104" s="557" t="n"/>
      <c r="K104" s="558" t="n"/>
      <c r="L104" s="558" t="n"/>
      <c r="M104" s="558" t="n"/>
      <c r="N104" s="112" t="n"/>
      <c r="O104" s="112" t="n"/>
      <c r="P104" s="112" t="n"/>
    </row>
    <row r="105">
      <c r="A105" s="246" t="n"/>
      <c r="B105" s="112" t="n"/>
      <c r="C105" s="247" t="n"/>
      <c r="D105" s="112" t="n"/>
      <c r="E105" s="112" t="n"/>
      <c r="F105" s="112" t="n"/>
      <c r="G105" s="112" t="n"/>
      <c r="H105" s="112" t="n"/>
      <c r="I105" s="112" t="n"/>
      <c r="J105" s="557" t="n"/>
      <c r="K105" s="558" t="n"/>
      <c r="L105" s="558" t="n"/>
      <c r="M105" s="558" t="n"/>
      <c r="N105" s="112" t="n"/>
      <c r="O105" s="112" t="n"/>
      <c r="P105" s="112" t="n"/>
    </row>
    <row r="106">
      <c r="A106" s="246" t="n"/>
      <c r="B106" s="112" t="n"/>
      <c r="C106" s="247" t="n"/>
      <c r="D106" s="112" t="n"/>
      <c r="E106" s="112" t="n"/>
      <c r="F106" s="112" t="n"/>
      <c r="G106" s="112" t="n"/>
      <c r="H106" s="112" t="n"/>
      <c r="I106" s="112" t="n"/>
      <c r="J106" s="557" t="n"/>
      <c r="K106" s="558" t="n"/>
      <c r="L106" s="558" t="n"/>
      <c r="M106" s="558" t="n"/>
      <c r="N106" s="112" t="n"/>
      <c r="O106" s="112" t="n"/>
      <c r="P106" s="112" t="n"/>
    </row>
    <row r="107">
      <c r="A107" s="246" t="n"/>
      <c r="B107" s="112" t="n"/>
      <c r="C107" s="247" t="n"/>
      <c r="D107" s="112" t="n"/>
      <c r="E107" s="112" t="n"/>
      <c r="F107" s="112" t="n"/>
      <c r="G107" s="112" t="n"/>
      <c r="H107" s="112" t="n"/>
      <c r="I107" s="112" t="n"/>
      <c r="J107" s="557" t="n"/>
      <c r="K107" s="558" t="n"/>
      <c r="L107" s="558" t="n"/>
      <c r="M107" s="558" t="n"/>
      <c r="N107" s="112" t="n"/>
      <c r="O107" s="112" t="n"/>
      <c r="P107" s="112" t="n"/>
    </row>
    <row r="108">
      <c r="A108" s="246" t="n"/>
      <c r="B108" s="112" t="n"/>
      <c r="C108" s="247" t="n"/>
      <c r="D108" s="112" t="n"/>
      <c r="E108" s="112" t="n"/>
      <c r="F108" s="112" t="n"/>
      <c r="G108" s="112" t="n"/>
      <c r="H108" s="112" t="n"/>
      <c r="I108" s="112" t="n"/>
      <c r="J108" s="557" t="n"/>
      <c r="K108" s="558" t="n"/>
      <c r="L108" s="558" t="n"/>
      <c r="M108" s="558" t="n"/>
      <c r="N108" s="112" t="n"/>
      <c r="O108" s="112" t="n"/>
      <c r="P108" s="112" t="n"/>
    </row>
    <row r="109">
      <c r="A109" s="246" t="n"/>
      <c r="B109" s="112" t="n"/>
      <c r="C109" s="247" t="n"/>
      <c r="D109" s="112" t="n"/>
      <c r="E109" s="112" t="n"/>
      <c r="F109" s="112" t="n"/>
      <c r="G109" s="112" t="n"/>
      <c r="H109" s="112" t="n"/>
      <c r="I109" s="112" t="n"/>
      <c r="J109" s="557" t="n"/>
      <c r="K109" s="558" t="n"/>
      <c r="L109" s="558" t="n"/>
      <c r="M109" s="558" t="n"/>
      <c r="N109" s="112" t="n"/>
      <c r="O109" s="112" t="n"/>
      <c r="P109" s="112" t="n"/>
    </row>
    <row r="110">
      <c r="A110" s="246" t="n"/>
      <c r="B110" s="112" t="n"/>
      <c r="C110" s="247" t="n"/>
      <c r="D110" s="112" t="n"/>
      <c r="E110" s="112" t="n"/>
      <c r="F110" s="112" t="n"/>
      <c r="G110" s="112" t="n"/>
      <c r="H110" s="112" t="n"/>
      <c r="I110" s="112" t="n"/>
      <c r="J110" s="557" t="n"/>
      <c r="K110" s="558" t="n"/>
      <c r="L110" s="558" t="n"/>
      <c r="M110" s="558" t="n"/>
      <c r="N110" s="112" t="n"/>
      <c r="O110" s="112" t="n"/>
      <c r="P110" s="112" t="n"/>
    </row>
    <row r="111">
      <c r="A111" s="246" t="n"/>
      <c r="B111" s="112" t="n"/>
      <c r="C111" s="247" t="n"/>
      <c r="D111" s="112" t="n"/>
      <c r="E111" s="112" t="n"/>
      <c r="F111" s="112" t="n"/>
      <c r="G111" s="112" t="n"/>
      <c r="H111" s="112" t="n"/>
      <c r="I111" s="112" t="n"/>
      <c r="J111" s="557" t="n"/>
      <c r="K111" s="558" t="n"/>
      <c r="L111" s="558" t="n"/>
      <c r="M111" s="558" t="n"/>
      <c r="N111" s="112" t="n"/>
      <c r="O111" s="112" t="n"/>
      <c r="P111" s="112" t="n"/>
    </row>
    <row r="112">
      <c r="A112" s="246" t="n"/>
      <c r="B112" s="112" t="n"/>
      <c r="C112" s="247" t="n"/>
      <c r="D112" s="112" t="n"/>
      <c r="E112" s="112" t="n"/>
      <c r="F112" s="112" t="n"/>
      <c r="G112" s="112" t="n"/>
      <c r="H112" s="112" t="n"/>
      <c r="I112" s="112" t="n"/>
      <c r="J112" s="557" t="n"/>
      <c r="K112" s="558" t="n"/>
      <c r="L112" s="558" t="n"/>
      <c r="M112" s="558" t="n"/>
      <c r="N112" s="112" t="n"/>
      <c r="O112" s="112" t="n"/>
      <c r="P112" s="112" t="n"/>
    </row>
    <row r="113">
      <c r="A113" s="246" t="n"/>
      <c r="B113" s="112" t="n"/>
      <c r="C113" s="247" t="n"/>
      <c r="D113" s="112" t="n"/>
      <c r="E113" s="112" t="n"/>
      <c r="F113" s="112" t="n"/>
      <c r="G113" s="112" t="n"/>
      <c r="H113" s="112" t="n"/>
      <c r="I113" s="112" t="n"/>
      <c r="J113" s="557" t="n"/>
      <c r="K113" s="558" t="n"/>
      <c r="L113" s="558" t="n"/>
      <c r="M113" s="558" t="n"/>
      <c r="N113" s="112" t="n"/>
      <c r="O113" s="112" t="n"/>
      <c r="P113" s="112" t="n"/>
    </row>
    <row r="114">
      <c r="A114" s="246" t="n"/>
      <c r="B114" s="112" t="n"/>
      <c r="C114" s="247" t="n"/>
      <c r="D114" s="112" t="n"/>
      <c r="E114" s="112" t="n"/>
      <c r="F114" s="112" t="n"/>
      <c r="G114" s="112" t="n"/>
      <c r="H114" s="112" t="n"/>
      <c r="I114" s="112" t="n"/>
      <c r="J114" s="557" t="n"/>
      <c r="K114" s="558" t="n"/>
      <c r="L114" s="558" t="n"/>
      <c r="M114" s="558" t="n"/>
      <c r="N114" s="112" t="n"/>
      <c r="O114" s="112" t="n"/>
      <c r="P114" s="112" t="n"/>
    </row>
    <row r="115">
      <c r="A115" s="246" t="n"/>
      <c r="B115" s="112" t="n"/>
      <c r="C115" s="247" t="n"/>
      <c r="D115" s="112" t="n"/>
      <c r="E115" s="112" t="n"/>
      <c r="F115" s="112" t="n"/>
      <c r="G115" s="112" t="n"/>
      <c r="H115" s="112" t="n"/>
      <c r="I115" s="112" t="n"/>
      <c r="J115" s="557" t="n"/>
      <c r="K115" s="558" t="n"/>
      <c r="L115" s="558" t="n"/>
      <c r="M115" s="558" t="n"/>
      <c r="N115" s="112" t="n"/>
      <c r="O115" s="112" t="n"/>
      <c r="P115" s="112" t="n"/>
    </row>
    <row r="116">
      <c r="A116" s="246" t="n"/>
      <c r="B116" s="112" t="n"/>
      <c r="C116" s="247" t="n"/>
      <c r="D116" s="112" t="n"/>
      <c r="E116" s="112" t="n"/>
      <c r="F116" s="112" t="n"/>
      <c r="G116" s="112" t="n"/>
      <c r="H116" s="112" t="n"/>
      <c r="I116" s="112" t="n"/>
      <c r="J116" s="557" t="n"/>
      <c r="K116" s="558" t="n"/>
      <c r="L116" s="558" t="n"/>
      <c r="M116" s="558" t="n"/>
      <c r="N116" s="112" t="n"/>
      <c r="O116" s="112" t="n"/>
      <c r="P116" s="112" t="n"/>
    </row>
    <row r="117">
      <c r="A117" s="246" t="n"/>
      <c r="B117" s="112" t="n"/>
      <c r="C117" s="247" t="n"/>
      <c r="D117" s="112" t="n"/>
      <c r="E117" s="112" t="n"/>
      <c r="F117" s="112" t="n"/>
      <c r="G117" s="112" t="n"/>
      <c r="H117" s="112" t="n"/>
      <c r="I117" s="112" t="n"/>
      <c r="J117" s="557" t="n"/>
      <c r="K117" s="558" t="n"/>
      <c r="L117" s="558" t="n"/>
      <c r="M117" s="558" t="n"/>
      <c r="N117" s="112" t="n"/>
      <c r="O117" s="112" t="n"/>
      <c r="P117" s="112" t="n"/>
    </row>
    <row r="118">
      <c r="A118" s="246" t="n"/>
      <c r="B118" s="112" t="n"/>
      <c r="C118" s="247" t="n"/>
      <c r="D118" s="112" t="n"/>
      <c r="E118" s="112" t="n"/>
      <c r="F118" s="112" t="n"/>
      <c r="G118" s="112" t="n"/>
      <c r="H118" s="112" t="n"/>
      <c r="I118" s="112" t="n"/>
      <c r="J118" s="557" t="n"/>
      <c r="K118" s="558" t="n"/>
      <c r="L118" s="558" t="n"/>
      <c r="M118" s="558" t="n"/>
      <c r="N118" s="112" t="n"/>
      <c r="O118" s="112" t="n"/>
      <c r="P118" s="112" t="n"/>
    </row>
    <row r="119">
      <c r="A119" s="246" t="n"/>
      <c r="B119" s="112" t="n"/>
      <c r="C119" s="247" t="n"/>
      <c r="D119" s="112" t="n"/>
      <c r="E119" s="112" t="n"/>
      <c r="F119" s="112" t="n"/>
      <c r="G119" s="112" t="n"/>
      <c r="H119" s="112" t="n"/>
      <c r="I119" s="112" t="n"/>
      <c r="J119" s="557" t="n"/>
      <c r="K119" s="558" t="n"/>
      <c r="L119" s="558" t="n"/>
      <c r="M119" s="558" t="n"/>
      <c r="N119" s="112" t="n"/>
      <c r="O119" s="112" t="n"/>
      <c r="P119" s="112" t="n"/>
    </row>
    <row r="120">
      <c r="A120" s="246" t="n"/>
      <c r="B120" s="112" t="n"/>
      <c r="C120" s="247" t="n"/>
      <c r="D120" s="112" t="n"/>
      <c r="E120" s="112" t="n"/>
      <c r="F120" s="112" t="n"/>
      <c r="G120" s="112" t="n"/>
      <c r="H120" s="112" t="n"/>
      <c r="I120" s="112" t="n"/>
      <c r="J120" s="557" t="n"/>
      <c r="K120" s="558" t="n"/>
      <c r="L120" s="558" t="n"/>
      <c r="M120" s="558" t="n"/>
      <c r="N120" s="112" t="n"/>
      <c r="O120" s="112" t="n"/>
      <c r="P120" s="112" t="n"/>
    </row>
    <row r="121">
      <c r="A121" s="246" t="n"/>
      <c r="B121" s="112" t="n"/>
      <c r="C121" s="247" t="n"/>
      <c r="D121" s="112" t="n"/>
      <c r="E121" s="112" t="n"/>
      <c r="F121" s="112" t="n"/>
      <c r="G121" s="112" t="n"/>
      <c r="H121" s="112" t="n"/>
      <c r="I121" s="112" t="n"/>
      <c r="J121" s="557" t="n"/>
      <c r="K121" s="558" t="n"/>
      <c r="L121" s="558" t="n"/>
      <c r="M121" s="558" t="n"/>
      <c r="N121" s="112" t="n"/>
      <c r="O121" s="112" t="n"/>
      <c r="P121" s="112" t="n"/>
    </row>
    <row r="122">
      <c r="A122" s="246" t="n"/>
      <c r="B122" s="112" t="n"/>
      <c r="C122" s="247" t="n"/>
      <c r="D122" s="112" t="n"/>
      <c r="E122" s="112" t="n"/>
      <c r="F122" s="112" t="n"/>
      <c r="G122" s="112" t="n"/>
      <c r="H122" s="112" t="n"/>
      <c r="I122" s="112" t="n"/>
      <c r="J122" s="557" t="n"/>
      <c r="K122" s="558" t="n"/>
      <c r="L122" s="558" t="n"/>
      <c r="M122" s="558" t="n"/>
      <c r="N122" s="112" t="n"/>
      <c r="O122" s="112" t="n"/>
      <c r="P122" s="112" t="n"/>
    </row>
    <row r="123">
      <c r="A123" s="246" t="n"/>
      <c r="B123" s="112" t="n"/>
      <c r="C123" s="247" t="n"/>
      <c r="D123" s="112" t="n"/>
      <c r="E123" s="112" t="n"/>
      <c r="F123" s="112" t="n"/>
      <c r="G123" s="112" t="n"/>
      <c r="H123" s="112" t="n"/>
      <c r="I123" s="112" t="n"/>
      <c r="J123" s="557" t="n"/>
      <c r="K123" s="558" t="n"/>
      <c r="L123" s="558" t="n"/>
      <c r="M123" s="558" t="n"/>
      <c r="N123" s="112" t="n"/>
      <c r="O123" s="112" t="n"/>
      <c r="P123" s="112" t="n"/>
    </row>
    <row r="124">
      <c r="A124" s="246" t="n"/>
      <c r="B124" s="112" t="n"/>
      <c r="C124" s="247" t="n"/>
      <c r="D124" s="112" t="n"/>
      <c r="E124" s="112" t="n"/>
      <c r="F124" s="112" t="n"/>
      <c r="G124" s="112" t="n"/>
      <c r="H124" s="112" t="n"/>
      <c r="I124" s="112" t="n"/>
      <c r="J124" s="557" t="n"/>
      <c r="K124" s="558" t="n"/>
      <c r="L124" s="558" t="n"/>
      <c r="M124" s="558" t="n"/>
      <c r="N124" s="112" t="n"/>
      <c r="O124" s="112" t="n"/>
      <c r="P124" s="112" t="n"/>
    </row>
    <row r="125">
      <c r="A125" s="246" t="n"/>
      <c r="B125" s="112" t="n"/>
      <c r="C125" s="247" t="n"/>
      <c r="D125" s="112" t="n"/>
      <c r="E125" s="112" t="n"/>
      <c r="F125" s="112" t="n"/>
      <c r="G125" s="112" t="n"/>
      <c r="H125" s="112" t="n"/>
      <c r="I125" s="112" t="n"/>
      <c r="J125" s="557" t="n"/>
      <c r="K125" s="558" t="n"/>
      <c r="L125" s="558" t="n"/>
      <c r="M125" s="558" t="n"/>
      <c r="N125" s="112" t="n"/>
      <c r="O125" s="112" t="n"/>
      <c r="P125" s="112" t="n"/>
    </row>
    <row r="126">
      <c r="A126" s="246" t="n"/>
      <c r="B126" s="112" t="n"/>
      <c r="C126" s="247" t="n"/>
      <c r="D126" s="112" t="n"/>
      <c r="E126" s="112" t="n"/>
      <c r="F126" s="112" t="n"/>
      <c r="G126" s="112" t="n"/>
      <c r="H126" s="112" t="n"/>
      <c r="I126" s="112" t="n"/>
      <c r="J126" s="557" t="n"/>
      <c r="K126" s="558" t="n"/>
      <c r="L126" s="558" t="n"/>
      <c r="M126" s="558" t="n"/>
      <c r="N126" s="112" t="n"/>
      <c r="O126" s="112" t="n"/>
      <c r="P126" s="112" t="n"/>
    </row>
    <row r="127">
      <c r="A127" s="246" t="n"/>
      <c r="B127" s="112" t="n"/>
      <c r="C127" s="247" t="n"/>
      <c r="D127" s="112" t="n"/>
      <c r="E127" s="112" t="n"/>
      <c r="F127" s="112" t="n"/>
      <c r="G127" s="112" t="n"/>
      <c r="H127" s="112" t="n"/>
      <c r="I127" s="112" t="n"/>
      <c r="J127" s="557" t="n"/>
      <c r="K127" s="558" t="n"/>
      <c r="L127" s="558" t="n"/>
      <c r="M127" s="558" t="n"/>
      <c r="N127" s="112" t="n"/>
      <c r="O127" s="112" t="n"/>
      <c r="P127" s="112" t="n"/>
    </row>
    <row r="128">
      <c r="A128" s="246" t="n"/>
      <c r="B128" s="112" t="n"/>
      <c r="C128" s="247" t="n"/>
      <c r="D128" s="112" t="n"/>
      <c r="E128" s="112" t="n"/>
      <c r="F128" s="112" t="n"/>
      <c r="G128" s="112" t="n"/>
      <c r="H128" s="112" t="n"/>
      <c r="I128" s="112" t="n"/>
      <c r="J128" s="557" t="n"/>
      <c r="K128" s="558" t="n"/>
      <c r="L128" s="558" t="n"/>
      <c r="M128" s="558" t="n"/>
      <c r="N128" s="112" t="n"/>
      <c r="O128" s="112" t="n"/>
      <c r="P128" s="112" t="n"/>
    </row>
    <row r="129">
      <c r="A129" s="246" t="n"/>
      <c r="B129" s="112" t="n"/>
      <c r="C129" s="247" t="n"/>
      <c r="D129" s="112" t="n"/>
      <c r="E129" s="112" t="n"/>
      <c r="F129" s="112" t="n"/>
      <c r="G129" s="112" t="n"/>
      <c r="H129" s="112" t="n"/>
      <c r="I129" s="112" t="n"/>
      <c r="J129" s="557" t="n"/>
      <c r="K129" s="558" t="n"/>
      <c r="L129" s="558" t="n"/>
      <c r="M129" s="558" t="n"/>
      <c r="N129" s="112" t="n"/>
      <c r="O129" s="112" t="n"/>
      <c r="P129" s="112" t="n"/>
    </row>
    <row r="130">
      <c r="A130" s="246" t="n"/>
      <c r="B130" s="112" t="n"/>
      <c r="C130" s="247" t="n"/>
      <c r="D130" s="112" t="n"/>
      <c r="E130" s="112" t="n"/>
      <c r="F130" s="112" t="n"/>
      <c r="G130" s="112" t="n"/>
      <c r="H130" s="112" t="n"/>
      <c r="I130" s="112" t="n"/>
      <c r="J130" s="557" t="n"/>
      <c r="K130" s="558" t="n"/>
      <c r="L130" s="558" t="n"/>
      <c r="M130" s="558" t="n"/>
      <c r="N130" s="112" t="n"/>
      <c r="O130" s="112" t="n"/>
      <c r="P130" s="112" t="n"/>
    </row>
    <row r="131">
      <c r="A131" s="246" t="n"/>
      <c r="B131" s="112" t="n"/>
      <c r="C131" s="247" t="n"/>
      <c r="D131" s="112" t="n"/>
      <c r="E131" s="112" t="n"/>
      <c r="F131" s="112" t="n"/>
      <c r="G131" s="112" t="n"/>
      <c r="H131" s="112" t="n"/>
      <c r="I131" s="112" t="n"/>
      <c r="J131" s="557" t="n"/>
      <c r="K131" s="558" t="n"/>
      <c r="L131" s="558" t="n"/>
      <c r="M131" s="558" t="n"/>
      <c r="N131" s="112" t="n"/>
      <c r="O131" s="112" t="n"/>
      <c r="P131" s="112" t="n"/>
    </row>
    <row r="132">
      <c r="A132" s="246" t="n"/>
      <c r="B132" s="112" t="n"/>
      <c r="C132" s="247" t="n"/>
      <c r="D132" s="112" t="n"/>
      <c r="E132" s="112" t="n"/>
      <c r="F132" s="112" t="n"/>
      <c r="G132" s="112" t="n"/>
      <c r="H132" s="112" t="n"/>
      <c r="I132" s="112" t="n"/>
      <c r="J132" s="557" t="n"/>
      <c r="K132" s="558" t="n"/>
      <c r="L132" s="558" t="n"/>
      <c r="M132" s="558" t="n"/>
      <c r="N132" s="112" t="n"/>
      <c r="O132" s="112" t="n"/>
      <c r="P132" s="112" t="n"/>
    </row>
    <row r="133">
      <c r="A133" s="246" t="n"/>
      <c r="B133" s="112" t="n"/>
      <c r="C133" s="247" t="n"/>
      <c r="D133" s="112" t="n"/>
      <c r="E133" s="112" t="n"/>
      <c r="F133" s="112" t="n"/>
      <c r="G133" s="112" t="n"/>
      <c r="H133" s="112" t="n"/>
      <c r="I133" s="112" t="n"/>
      <c r="J133" s="557" t="n"/>
      <c r="K133" s="558" t="n"/>
      <c r="L133" s="558" t="n"/>
      <c r="M133" s="558" t="n"/>
      <c r="N133" s="112" t="n"/>
      <c r="O133" s="112" t="n"/>
      <c r="P133" s="112" t="n"/>
    </row>
    <row r="134">
      <c r="A134" s="246" t="n"/>
      <c r="B134" s="112" t="n"/>
      <c r="C134" s="247" t="n"/>
      <c r="D134" s="112" t="n"/>
      <c r="E134" s="112" t="n"/>
      <c r="F134" s="112" t="n"/>
      <c r="G134" s="112" t="n"/>
      <c r="H134" s="112" t="n"/>
      <c r="I134" s="112" t="n"/>
      <c r="J134" s="557" t="n"/>
      <c r="K134" s="558" t="n"/>
      <c r="L134" s="558" t="n"/>
      <c r="M134" s="558" t="n"/>
      <c r="N134" s="112" t="n"/>
      <c r="O134" s="112" t="n"/>
      <c r="P134" s="112" t="n"/>
    </row>
    <row r="135">
      <c r="A135" s="246" t="n"/>
      <c r="B135" s="112" t="n"/>
      <c r="C135" s="247" t="n"/>
      <c r="D135" s="112" t="n"/>
      <c r="E135" s="112" t="n"/>
      <c r="F135" s="112" t="n"/>
      <c r="G135" s="112" t="n"/>
      <c r="H135" s="112" t="n"/>
      <c r="I135" s="112" t="n"/>
      <c r="J135" s="557" t="n"/>
      <c r="K135" s="558" t="n"/>
      <c r="L135" s="558" t="n"/>
      <c r="M135" s="558" t="n"/>
      <c r="N135" s="112" t="n"/>
      <c r="O135" s="112" t="n"/>
      <c r="P135" s="112" t="n"/>
    </row>
    <row r="136">
      <c r="A136" s="246" t="n"/>
      <c r="B136" s="112" t="n"/>
      <c r="C136" s="247" t="n"/>
      <c r="D136" s="112" t="n"/>
      <c r="E136" s="112" t="n"/>
      <c r="F136" s="112" t="n"/>
      <c r="G136" s="112" t="n"/>
      <c r="H136" s="112" t="n"/>
      <c r="I136" s="112" t="n"/>
      <c r="J136" s="557" t="n"/>
      <c r="K136" s="558" t="n"/>
      <c r="L136" s="558" t="n"/>
      <c r="M136" s="558" t="n"/>
      <c r="N136" s="112" t="n"/>
      <c r="O136" s="112" t="n"/>
      <c r="P136" s="112" t="n"/>
    </row>
    <row r="137">
      <c r="A137" s="246" t="n"/>
      <c r="B137" s="112" t="n"/>
      <c r="C137" s="247" t="n"/>
      <c r="D137" s="112" t="n"/>
      <c r="E137" s="112" t="n"/>
      <c r="F137" s="112" t="n"/>
      <c r="G137" s="112" t="n"/>
      <c r="H137" s="112" t="n"/>
      <c r="I137" s="112" t="n"/>
      <c r="J137" s="557" t="n"/>
      <c r="K137" s="558" t="n"/>
      <c r="L137" s="558" t="n"/>
      <c r="M137" s="558" t="n"/>
      <c r="N137" s="112" t="n"/>
      <c r="O137" s="112" t="n"/>
      <c r="P137" s="112" t="n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133"/>
  <sheetViews>
    <sheetView zoomScaleNormal="100" zoomScaleSheetLayoutView="100" workbookViewId="0">
      <selection activeCell="A7" sqref="A2:XFD7"/>
    </sheetView>
  </sheetViews>
  <sheetFormatPr baseColWidth="8" defaultRowHeight="15"/>
  <cols>
    <col width="9.75" customWidth="1" style="281" min="2" max="2"/>
    <col width="14.75" customWidth="1" min="4" max="4"/>
    <col width="31.875" customWidth="1" min="5" max="5"/>
    <col width="25.125" customWidth="1" min="6" max="6"/>
  </cols>
  <sheetData>
    <row r="1">
      <c r="A1" t="inlineStr">
        <is>
          <t>Date</t>
        </is>
      </c>
      <c r="B1" s="368" t="inlineStr">
        <is>
          <t>Ord No.</t>
        </is>
      </c>
      <c r="C1" s="330" t="inlineStr">
        <is>
          <t>Time</t>
        </is>
      </c>
      <c r="D1" s="330" t="inlineStr">
        <is>
          <t>Trip</t>
        </is>
      </c>
      <c r="E1" s="523" t="inlineStr">
        <is>
          <t>Driver</t>
        </is>
      </c>
      <c r="F1" s="593" t="inlineStr">
        <is>
          <t>Status</t>
        </is>
      </c>
      <c r="G1" s="593" t="inlineStr">
        <is>
          <t>Pick</t>
        </is>
      </c>
      <c r="H1" s="593" t="inlineStr">
        <is>
          <t>Drop</t>
        </is>
      </c>
      <c r="I1" s="593" t="inlineStr">
        <is>
          <t>Decp</t>
        </is>
      </c>
      <c r="J1" s="594" t="inlineStr">
        <is>
          <t>Ptime</t>
        </is>
      </c>
      <c r="K1" s="595" t="inlineStr">
        <is>
          <t>Driver.Details</t>
        </is>
      </c>
      <c r="L1" s="577" t="inlineStr">
        <is>
          <t>Dvr.OT</t>
        </is>
      </c>
      <c r="M1" s="596" t="inlineStr">
        <is>
          <t>Dvr.C</t>
        </is>
      </c>
      <c r="N1" s="577" t="inlineStr">
        <is>
          <t>Driver.C+OT</t>
        </is>
      </c>
      <c r="O1" s="577" t="inlineStr">
        <is>
          <t>Bouns</t>
        </is>
      </c>
    </row>
    <row r="2">
      <c r="A2" s="374" t="n"/>
      <c r="B2" s="323" t="n"/>
      <c r="C2" s="324" t="n"/>
      <c r="D2" s="325" t="n"/>
      <c r="E2" s="516" t="n"/>
      <c r="F2" s="165" t="n"/>
      <c r="G2" s="166" t="n"/>
      <c r="H2" s="166" t="n"/>
      <c r="I2" s="165" t="n"/>
      <c r="J2" s="446" t="n"/>
      <c r="K2" s="512" t="n"/>
      <c r="L2" s="490" t="n"/>
      <c r="M2" s="490" t="n"/>
      <c r="N2" s="490" t="n"/>
      <c r="O2" s="448" t="n"/>
      <c r="R2" s="112" t="n"/>
    </row>
    <row r="3">
      <c r="A3" s="374" t="n"/>
      <c r="B3" s="365" t="n"/>
      <c r="C3" s="366" t="n"/>
      <c r="D3" s="170" t="n"/>
      <c r="E3" s="167" t="n"/>
      <c r="F3" s="516" t="n"/>
      <c r="G3" s="172" t="n"/>
      <c r="H3" s="172" t="n"/>
      <c r="I3" s="516" t="n"/>
      <c r="J3" s="517" t="n"/>
      <c r="K3" s="507" t="n"/>
      <c r="L3" s="488" t="n"/>
      <c r="M3" s="489" t="n"/>
      <c r="N3" s="448" t="n"/>
      <c r="O3" s="448" t="n"/>
      <c r="P3" s="112" t="n"/>
      <c r="Q3" s="112" t="n"/>
      <c r="R3" s="112" t="n"/>
    </row>
    <row r="4">
      <c r="A4" s="374" t="n"/>
      <c r="B4" s="254" t="n"/>
      <c r="C4" s="168" t="n"/>
      <c r="D4" s="165" t="n"/>
      <c r="E4" s="553" t="n"/>
      <c r="F4" s="165" t="n"/>
      <c r="G4" s="166" t="n"/>
      <c r="H4" s="166" t="n"/>
      <c r="I4" s="165" t="n"/>
      <c r="J4" s="446" t="n"/>
      <c r="K4" s="485" t="n"/>
      <c r="L4" s="448" t="n"/>
      <c r="M4" s="477" t="n"/>
      <c r="N4" s="448" t="n"/>
      <c r="O4" s="448" t="n"/>
      <c r="P4" s="112" t="n"/>
      <c r="Q4" s="112" t="n"/>
      <c r="R4" s="112" t="n"/>
    </row>
    <row r="5">
      <c r="A5" s="374" t="n"/>
      <c r="B5" s="159" t="n"/>
      <c r="C5" s="168" t="n"/>
      <c r="D5" s="167" t="n"/>
      <c r="E5" s="487" t="n"/>
      <c r="F5" s="165" t="n"/>
      <c r="G5" s="166" t="n"/>
      <c r="H5" s="166" t="n"/>
      <c r="I5" s="495" t="n"/>
      <c r="J5" s="446" t="n"/>
      <c r="K5" s="446" t="n"/>
      <c r="L5" s="448" t="n"/>
      <c r="M5" s="477" t="n"/>
      <c r="N5" s="448" t="n"/>
      <c r="O5" s="448" t="n"/>
    </row>
    <row r="6">
      <c r="A6" s="374" t="n"/>
      <c r="B6" s="318" t="n"/>
      <c r="C6" s="340" t="n"/>
      <c r="D6" s="286" t="n"/>
      <c r="E6" s="523" t="n"/>
      <c r="F6" s="286" t="n"/>
      <c r="G6" s="339" t="n"/>
      <c r="H6" s="339" t="n"/>
      <c r="I6" s="286" t="n"/>
      <c r="J6" s="504" t="n"/>
      <c r="K6" s="446" t="n"/>
      <c r="L6" s="490" t="n"/>
      <c r="M6" s="490" t="n"/>
      <c r="N6" s="490" t="n"/>
      <c r="O6" s="448" t="n"/>
      <c r="R6" s="6" t="n"/>
    </row>
    <row r="7">
      <c r="A7" s="374" t="n"/>
      <c r="B7" s="167" t="n"/>
      <c r="C7" s="168" t="n"/>
      <c r="D7" s="167" t="n"/>
      <c r="E7" s="516" t="n"/>
      <c r="F7" s="165" t="n"/>
      <c r="G7" s="166" t="n"/>
      <c r="H7" s="166" t="n"/>
      <c r="I7" s="165" t="n"/>
      <c r="J7" s="446" t="n"/>
      <c r="K7" s="587" t="n"/>
      <c r="L7" s="448" t="n"/>
      <c r="M7" s="477" t="n"/>
      <c r="N7" s="448" t="n"/>
      <c r="O7" s="448" t="n"/>
      <c r="P7" s="112" t="n"/>
      <c r="Q7" s="112" t="n"/>
      <c r="R7" s="6" t="n"/>
    </row>
    <row r="8">
      <c r="B8" s="159" t="n"/>
      <c r="C8" s="159" t="n"/>
      <c r="D8" s="165" t="n"/>
      <c r="E8" s="487" t="n"/>
      <c r="F8" s="266" t="n"/>
      <c r="G8" s="166" t="n"/>
      <c r="H8" s="166" t="n"/>
      <c r="I8" s="165" t="n"/>
      <c r="J8" s="446" t="n"/>
      <c r="K8" s="485" t="n"/>
      <c r="L8" s="448" t="n"/>
      <c r="M8" s="477" t="n"/>
      <c r="N8" s="448" t="n"/>
      <c r="O8" s="448" t="n"/>
      <c r="P8" s="6" t="n"/>
      <c r="Q8" s="6" t="n"/>
    </row>
    <row r="9">
      <c r="B9" s="159" t="n"/>
      <c r="C9" s="159" t="n"/>
      <c r="D9" s="159" t="n"/>
      <c r="E9" s="487" t="n"/>
      <c r="F9" s="165" t="n"/>
      <c r="G9" s="166" t="n"/>
      <c r="H9" s="166" t="n"/>
      <c r="I9" s="165" t="n"/>
      <c r="J9" s="446" t="n"/>
      <c r="K9" s="446" t="n"/>
      <c r="L9" s="448" t="n"/>
      <c r="M9" s="477" t="n"/>
      <c r="N9" s="448" t="n"/>
      <c r="O9" s="448" t="n"/>
      <c r="R9" s="6" t="n"/>
    </row>
    <row r="10">
      <c r="B10" s="159" t="n"/>
      <c r="C10" s="159" t="n"/>
      <c r="D10" s="159" t="n"/>
      <c r="E10" s="487" t="n"/>
      <c r="F10" s="266" t="n"/>
      <c r="G10" s="166" t="n"/>
      <c r="H10" s="166" t="n"/>
      <c r="I10" s="165" t="n"/>
      <c r="J10" s="446" t="n"/>
      <c r="K10" s="485" t="n"/>
      <c r="L10" s="448" t="n"/>
      <c r="M10" s="477" t="n"/>
      <c r="N10" s="448" t="n"/>
      <c r="O10" s="448" t="n"/>
      <c r="P10" s="6" t="n"/>
      <c r="Q10" s="6" t="n"/>
    </row>
    <row r="11">
      <c r="B11" s="159" t="n"/>
      <c r="C11" s="159" t="n"/>
      <c r="D11" s="159" t="n"/>
      <c r="E11" s="487" t="n"/>
      <c r="F11" s="266" t="n"/>
      <c r="G11" s="166" t="n"/>
      <c r="H11" s="166" t="n"/>
      <c r="I11" s="165" t="n"/>
      <c r="J11" s="446" t="n"/>
      <c r="K11" s="485" t="n"/>
      <c r="L11" s="448" t="n"/>
      <c r="M11" s="477" t="n"/>
      <c r="N11" s="448" t="n"/>
      <c r="O11" s="448" t="n"/>
    </row>
    <row r="12">
      <c r="B12" s="159" t="n"/>
      <c r="C12" s="159" t="n"/>
      <c r="D12" s="158" t="n"/>
      <c r="E12" s="487" t="n"/>
      <c r="F12" s="165" t="n"/>
      <c r="G12" s="166" t="n"/>
      <c r="H12" s="166" t="n"/>
      <c r="I12" s="165" t="n"/>
      <c r="J12" s="446" t="n"/>
      <c r="K12" s="485" t="n"/>
      <c r="L12" s="448" t="n"/>
      <c r="M12" s="477" t="n"/>
      <c r="N12" s="448" t="n"/>
      <c r="O12" s="448" t="n"/>
    </row>
    <row r="13">
      <c r="B13" s="159" t="n"/>
      <c r="C13" s="159" t="n"/>
      <c r="D13" s="158" t="n"/>
      <c r="E13" s="487" t="n"/>
      <c r="F13" s="165" t="n"/>
      <c r="G13" s="166" t="n"/>
      <c r="H13" s="166" t="n"/>
      <c r="I13" s="165" t="n"/>
      <c r="J13" s="446" t="n"/>
      <c r="K13" s="485" t="n"/>
      <c r="L13" s="448" t="n"/>
      <c r="M13" s="477" t="n"/>
      <c r="N13" s="490">
        <f>L13+M13</f>
        <v/>
      </c>
      <c r="O13" s="448" t="n">
        <v>0</v>
      </c>
    </row>
    <row r="14">
      <c r="B14" s="316" t="n"/>
      <c r="C14" s="174" t="n"/>
      <c r="D14" s="165" t="n"/>
      <c r="E14" s="553" t="n"/>
      <c r="F14" s="165" t="n"/>
      <c r="G14" s="166" t="n"/>
      <c r="H14" s="166" t="n"/>
      <c r="I14" s="165" t="n"/>
      <c r="J14" s="446" t="n"/>
      <c r="K14" s="485" t="n"/>
      <c r="L14" s="448" t="n"/>
      <c r="M14" s="477" t="n"/>
      <c r="N14" s="490">
        <f>L14+M14</f>
        <v/>
      </c>
      <c r="O14" s="448" t="n">
        <v>0</v>
      </c>
    </row>
    <row r="15">
      <c r="B15" s="254" t="n"/>
      <c r="C15" s="168" t="n"/>
      <c r="D15" s="165" t="n"/>
      <c r="E15" s="553" t="n"/>
      <c r="F15" s="165" t="n"/>
      <c r="G15" s="166" t="n"/>
      <c r="H15" s="166" t="n"/>
      <c r="I15" s="165" t="n"/>
      <c r="J15" s="446" t="n"/>
      <c r="K15" s="485" t="n"/>
      <c r="L15" s="448" t="n"/>
      <c r="M15" s="477" t="n"/>
      <c r="N15" s="490">
        <f>L15+M15</f>
        <v/>
      </c>
      <c r="O15" s="448" t="n">
        <v>0</v>
      </c>
    </row>
    <row r="16">
      <c r="B16" s="316" t="n"/>
      <c r="C16" s="174" t="n"/>
      <c r="D16" s="165" t="n"/>
      <c r="E16" s="487" t="n"/>
      <c r="F16" s="165" t="n"/>
      <c r="G16" s="166" t="n"/>
      <c r="H16" s="166" t="n"/>
      <c r="I16" s="165" t="n"/>
      <c r="J16" s="446" t="n"/>
      <c r="K16" s="485" t="n"/>
      <c r="L16" s="448" t="n"/>
      <c r="M16" s="448" t="n"/>
      <c r="N16" s="490">
        <f>L16+M16</f>
        <v/>
      </c>
      <c r="O16" s="448" t="n">
        <v>0</v>
      </c>
    </row>
    <row r="17">
      <c r="B17" s="368" t="n"/>
      <c r="C17" s="338" t="n"/>
      <c r="D17" s="286" t="n"/>
      <c r="E17" s="523" t="n"/>
      <c r="F17" s="286" t="n"/>
      <c r="G17" s="339" t="n"/>
      <c r="H17" s="339" t="n"/>
      <c r="I17" s="286" t="n"/>
      <c r="J17" s="504" t="n"/>
      <c r="K17" s="505" t="n"/>
      <c r="L17" s="490" t="n"/>
      <c r="M17" s="490" t="n"/>
      <c r="N17" s="490">
        <f>L17+M17</f>
        <v/>
      </c>
      <c r="O17" s="448" t="n">
        <v>0</v>
      </c>
    </row>
    <row r="18">
      <c r="B18" s="318" t="n"/>
      <c r="C18" s="340" t="n"/>
      <c r="D18" s="286" t="n"/>
      <c r="E18" s="523" t="n"/>
      <c r="F18" s="286" t="n"/>
      <c r="G18" s="339" t="n"/>
      <c r="H18" s="339" t="n"/>
      <c r="I18" s="286" t="n"/>
      <c r="J18" s="504" t="n"/>
      <c r="K18" s="505" t="n"/>
      <c r="L18" s="490" t="n"/>
      <c r="M18" s="490" t="n"/>
      <c r="N18" s="490">
        <f>L18+M18</f>
        <v/>
      </c>
      <c r="O18" s="448" t="n">
        <v>0</v>
      </c>
    </row>
    <row r="19">
      <c r="B19" s="318" t="n"/>
      <c r="C19" s="340" t="n"/>
      <c r="D19" s="286" t="n"/>
      <c r="E19" s="523" t="n"/>
      <c r="F19" s="286" t="n"/>
      <c r="G19" s="339" t="n"/>
      <c r="H19" s="339" t="n"/>
      <c r="I19" s="286" t="n"/>
      <c r="J19" s="504" t="n"/>
      <c r="K19" s="505" t="n"/>
      <c r="L19" s="490" t="n"/>
      <c r="M19" s="490" t="n"/>
      <c r="N19" s="490">
        <f>L19+M19</f>
        <v/>
      </c>
      <c r="O19" s="448" t="n">
        <v>0</v>
      </c>
    </row>
    <row r="20">
      <c r="B20" s="318" t="n"/>
      <c r="C20" s="340" t="n"/>
      <c r="D20" s="286" t="n"/>
      <c r="E20" s="523" t="n"/>
      <c r="F20" s="286" t="n"/>
      <c r="G20" s="339" t="n"/>
      <c r="H20" s="339" t="n"/>
      <c r="I20" s="286" t="n"/>
      <c r="J20" s="504" t="n"/>
      <c r="K20" s="505" t="n"/>
      <c r="L20" s="490" t="n"/>
      <c r="M20" s="490" t="n"/>
      <c r="N20" s="490">
        <f>L20+M20</f>
        <v/>
      </c>
      <c r="O20" s="448" t="n">
        <v>0</v>
      </c>
    </row>
    <row r="21">
      <c r="B21" s="318" t="n"/>
      <c r="C21" s="340" t="n"/>
      <c r="D21" s="286" t="n"/>
      <c r="E21" s="523" t="n"/>
      <c r="F21" s="286" t="n"/>
      <c r="G21" s="339" t="n"/>
      <c r="H21" s="339" t="n"/>
      <c r="I21" s="286" t="n"/>
      <c r="J21" s="504" t="n"/>
      <c r="K21" s="505" t="n"/>
      <c r="L21" s="490" t="n"/>
      <c r="M21" s="490" t="n"/>
      <c r="N21" s="490">
        <f>L21+M21</f>
        <v/>
      </c>
      <c r="O21" s="448" t="n">
        <v>0</v>
      </c>
    </row>
    <row r="22">
      <c r="B22" s="318" t="n"/>
      <c r="C22" s="340" t="n"/>
      <c r="D22" s="286" t="n"/>
      <c r="E22" s="597" t="n"/>
      <c r="F22" s="286" t="n"/>
      <c r="G22" s="339" t="n"/>
      <c r="H22" s="339" t="n"/>
      <c r="I22" s="286" t="n"/>
      <c r="J22" s="504" t="n"/>
      <c r="K22" s="505" t="n"/>
      <c r="L22" s="490" t="n"/>
      <c r="M22" s="490" t="n"/>
      <c r="N22" s="490">
        <f>L22+M22</f>
        <v/>
      </c>
      <c r="O22" s="448" t="n">
        <v>0</v>
      </c>
    </row>
    <row r="23">
      <c r="B23" s="318" t="n"/>
      <c r="C23" s="340" t="n"/>
      <c r="D23" s="286" t="n"/>
      <c r="E23" s="286" t="n"/>
      <c r="F23" s="286" t="n"/>
      <c r="G23" s="339" t="n"/>
      <c r="H23" s="339" t="n"/>
      <c r="I23" s="286" t="n"/>
      <c r="J23" s="504" t="n"/>
      <c r="K23" s="505" t="n"/>
      <c r="L23" s="490" t="n"/>
      <c r="M23" s="490" t="n"/>
      <c r="N23" s="490">
        <f>L23+M23</f>
        <v/>
      </c>
      <c r="O23" s="448" t="n">
        <v>0</v>
      </c>
    </row>
    <row r="24">
      <c r="B24" s="318" t="n"/>
      <c r="C24" s="340" t="n"/>
      <c r="D24" s="286" t="n"/>
      <c r="E24" s="597" t="n"/>
      <c r="F24" s="286" t="n"/>
      <c r="G24" s="339" t="n"/>
      <c r="H24" s="339" t="n"/>
      <c r="I24" s="286" t="n"/>
      <c r="J24" s="504" t="n"/>
      <c r="K24" s="505" t="n"/>
      <c r="L24" s="490" t="n"/>
      <c r="M24" s="490" t="n"/>
      <c r="N24" s="490">
        <f>L24+M24</f>
        <v/>
      </c>
      <c r="O24" s="448" t="n">
        <v>0</v>
      </c>
    </row>
    <row r="25">
      <c r="B25" s="318" t="n"/>
      <c r="C25" s="340" t="n"/>
      <c r="D25" s="286" t="n"/>
      <c r="E25" s="286" t="n"/>
      <c r="F25" s="286" t="n"/>
      <c r="G25" s="339" t="n"/>
      <c r="H25" s="339" t="n"/>
      <c r="I25" s="286" t="n"/>
      <c r="J25" s="504" t="n"/>
      <c r="K25" s="505" t="n"/>
      <c r="L25" s="490" t="n"/>
      <c r="M25" s="490" t="n"/>
      <c r="N25" s="490">
        <f>L25+M25</f>
        <v/>
      </c>
      <c r="O25" s="448" t="n">
        <v>0</v>
      </c>
    </row>
    <row r="26">
      <c r="B26" s="318" t="n"/>
      <c r="C26" s="340" t="n"/>
      <c r="D26" s="286" t="n"/>
      <c r="E26" s="523" t="n"/>
      <c r="F26" s="286" t="n"/>
      <c r="G26" s="339" t="n"/>
      <c r="H26" s="339" t="n"/>
      <c r="I26" s="286" t="n"/>
      <c r="J26" s="504" t="n"/>
      <c r="K26" s="505" t="n"/>
      <c r="L26" s="490" t="n"/>
      <c r="M26" s="490" t="n"/>
      <c r="N26" s="490">
        <f>L26+M26</f>
        <v/>
      </c>
      <c r="O26" s="448" t="n">
        <v>0</v>
      </c>
    </row>
    <row r="27">
      <c r="B27" s="318" t="n"/>
      <c r="C27" s="340" t="n"/>
      <c r="D27" s="286" t="n"/>
      <c r="E27" s="598" t="n"/>
      <c r="F27" s="286" t="n"/>
      <c r="G27" s="339" t="n"/>
      <c r="H27" s="339" t="n"/>
      <c r="I27" s="286" t="n"/>
      <c r="J27" s="504" t="n"/>
      <c r="K27" s="505" t="n"/>
      <c r="L27" s="490" t="n"/>
      <c r="M27" s="490" t="n"/>
      <c r="N27" s="490">
        <f>L27+M27</f>
        <v/>
      </c>
      <c r="O27" s="448" t="n">
        <v>0</v>
      </c>
    </row>
    <row r="28">
      <c r="B28" s="318" t="n"/>
      <c r="C28" s="340" t="n"/>
      <c r="D28" s="286" t="n"/>
      <c r="E28" s="523" t="n"/>
      <c r="F28" s="286" t="n"/>
      <c r="G28" s="339" t="n"/>
      <c r="H28" s="339" t="n"/>
      <c r="I28" s="286" t="n"/>
      <c r="J28" s="504" t="n"/>
      <c r="K28" s="505" t="n"/>
      <c r="L28" s="490" t="n"/>
      <c r="M28" s="490" t="n"/>
      <c r="N28" s="490">
        <f>L28+M28</f>
        <v/>
      </c>
      <c r="O28" s="448" t="n">
        <v>0</v>
      </c>
    </row>
    <row r="29">
      <c r="B29" s="318" t="n"/>
      <c r="C29" s="340" t="n"/>
      <c r="D29" s="286" t="n"/>
      <c r="E29" s="343" t="n"/>
      <c r="F29" s="286" t="n"/>
      <c r="G29" s="339" t="n"/>
      <c r="H29" s="339" t="n"/>
      <c r="I29" s="286" t="n"/>
      <c r="J29" s="504" t="n"/>
      <c r="K29" s="505" t="n"/>
      <c r="L29" s="490" t="n"/>
      <c r="M29" s="490" t="n"/>
      <c r="N29" s="490">
        <f>L29+M29</f>
        <v/>
      </c>
      <c r="O29" s="448" t="n">
        <v>0</v>
      </c>
    </row>
    <row r="30">
      <c r="B30" s="318" t="n"/>
      <c r="C30" s="340" t="n"/>
      <c r="D30" s="286" t="n"/>
      <c r="E30" s="523" t="n"/>
      <c r="F30" s="286" t="n"/>
      <c r="G30" s="339" t="n"/>
      <c r="H30" s="339" t="n"/>
      <c r="I30" s="286" t="n"/>
      <c r="J30" s="504" t="n"/>
      <c r="K30" s="505" t="n"/>
      <c r="L30" s="490" t="n"/>
      <c r="M30" s="490" t="n"/>
      <c r="N30" s="490">
        <f>L30+M30</f>
        <v/>
      </c>
      <c r="O30" s="448" t="n">
        <v>0</v>
      </c>
    </row>
    <row r="31">
      <c r="B31" s="318" t="n"/>
      <c r="C31" s="340" t="n"/>
      <c r="D31" s="286" t="n"/>
      <c r="E31" s="523" t="n"/>
      <c r="F31" s="286" t="n"/>
      <c r="G31" s="339" t="n"/>
      <c r="H31" s="339" t="n"/>
      <c r="I31" s="286" t="n"/>
      <c r="J31" s="504" t="n"/>
      <c r="K31" s="505" t="n"/>
      <c r="L31" s="490" t="n"/>
      <c r="M31" s="490" t="n"/>
      <c r="N31" s="490">
        <f>L31+M31</f>
        <v/>
      </c>
      <c r="O31" s="448" t="n">
        <v>0</v>
      </c>
    </row>
    <row r="32">
      <c r="B32" s="318" t="n"/>
      <c r="C32" s="340" t="n"/>
      <c r="D32" s="286" t="n"/>
      <c r="E32" s="597" t="n"/>
      <c r="F32" s="344" t="n"/>
      <c r="G32" s="339" t="n"/>
      <c r="H32" s="339" t="n"/>
      <c r="I32" s="344" t="n"/>
      <c r="J32" s="599" t="n"/>
      <c r="K32" s="600" t="n"/>
      <c r="L32" s="601" t="n"/>
      <c r="M32" s="601" t="n"/>
      <c r="N32" s="490">
        <f>L32+M32</f>
        <v/>
      </c>
      <c r="O32" s="448" t="n">
        <v>0</v>
      </c>
    </row>
    <row r="33">
      <c r="B33" s="372" t="n"/>
      <c r="C33" s="348" t="n"/>
      <c r="D33" s="344" t="n"/>
      <c r="E33" s="523" t="n"/>
      <c r="F33" s="344" t="n"/>
      <c r="G33" s="339" t="n"/>
      <c r="H33" s="339" t="n"/>
      <c r="I33" s="344" t="n"/>
      <c r="J33" s="599" t="n"/>
      <c r="K33" s="600" t="n"/>
      <c r="L33" s="601" t="n"/>
      <c r="M33" s="601" t="n"/>
      <c r="N33" s="490">
        <f>L33+M33</f>
        <v/>
      </c>
      <c r="O33" s="448" t="n">
        <v>0</v>
      </c>
    </row>
    <row r="34">
      <c r="B34" s="372" t="n"/>
      <c r="C34" s="348" t="n"/>
      <c r="D34" s="344" t="n"/>
      <c r="E34" s="602" t="n"/>
      <c r="F34" s="344" t="n"/>
      <c r="G34" s="339" t="n"/>
      <c r="H34" s="339" t="n"/>
      <c r="I34" s="344" t="n"/>
      <c r="J34" s="599" t="n"/>
      <c r="K34" s="600" t="n"/>
      <c r="L34" s="601" t="n"/>
      <c r="M34" s="601" t="n"/>
      <c r="N34" s="490">
        <f>L34+M34</f>
        <v/>
      </c>
      <c r="O34" s="448" t="n">
        <v>0</v>
      </c>
    </row>
    <row r="35">
      <c r="B35" s="372" t="n"/>
      <c r="C35" s="348" t="n"/>
      <c r="D35" s="344" t="n"/>
      <c r="E35" s="602" t="n"/>
      <c r="F35" s="344" t="n"/>
      <c r="G35" s="339" t="n"/>
      <c r="H35" s="339" t="n"/>
      <c r="I35" s="344" t="n"/>
      <c r="J35" s="599" t="n"/>
      <c r="K35" s="600" t="n"/>
      <c r="L35" s="601" t="n"/>
      <c r="M35" s="601" t="n"/>
      <c r="N35" s="490">
        <f>L35+M35</f>
        <v/>
      </c>
      <c r="O35" s="448" t="n">
        <v>0</v>
      </c>
    </row>
    <row r="36">
      <c r="B36" s="372" t="n"/>
      <c r="C36" s="348" t="n"/>
      <c r="D36" s="344" t="n"/>
      <c r="E36" s="523" t="n"/>
      <c r="F36" s="344" t="n"/>
      <c r="G36" s="339" t="n"/>
      <c r="H36" s="339" t="n"/>
      <c r="I36" s="344" t="n"/>
      <c r="J36" s="599" t="n"/>
      <c r="K36" s="600" t="n"/>
      <c r="L36" s="601" t="n"/>
      <c r="M36" s="601" t="n"/>
      <c r="N36" s="490">
        <f>L36+M36</f>
        <v/>
      </c>
      <c r="O36" s="448" t="n">
        <v>0</v>
      </c>
    </row>
    <row r="37">
      <c r="B37" s="373" t="n"/>
      <c r="C37" s="350" t="n"/>
      <c r="D37" s="344" t="n"/>
      <c r="E37" s="502" t="n"/>
      <c r="F37" s="344" t="n"/>
      <c r="G37" s="339" t="n"/>
      <c r="H37" s="339" t="n"/>
      <c r="I37" s="344" t="n"/>
      <c r="J37" s="599" t="n"/>
      <c r="K37" s="600" t="n"/>
      <c r="L37" s="601" t="n"/>
      <c r="M37" s="601" t="n"/>
      <c r="N37" s="490">
        <f>L37+M37</f>
        <v/>
      </c>
      <c r="O37" s="448" t="n">
        <v>0</v>
      </c>
    </row>
    <row r="38">
      <c r="B38" s="351" t="n"/>
      <c r="C38" s="352" t="n"/>
      <c r="D38" s="353" t="n"/>
      <c r="E38" s="603" t="n"/>
      <c r="F38" s="353" t="n"/>
      <c r="G38" s="355" t="n"/>
      <c r="H38" s="355" t="n"/>
      <c r="I38" s="353" t="n"/>
      <c r="J38" s="604" t="n"/>
      <c r="K38" s="605" t="n"/>
      <c r="L38" s="606" t="n"/>
      <c r="M38" s="606" t="n"/>
      <c r="N38" s="607" t="n"/>
      <c r="O38" s="448" t="n">
        <v>0</v>
      </c>
    </row>
    <row r="39">
      <c r="B39" s="360" t="n"/>
      <c r="C39" s="361" t="n"/>
      <c r="D39" s="362" t="n"/>
      <c r="E39" s="361" t="n"/>
      <c r="F39" s="361" t="n"/>
      <c r="G39" s="361" t="n"/>
      <c r="H39" s="361" t="n"/>
      <c r="I39" s="361" t="n"/>
      <c r="K39" s="608" t="n"/>
      <c r="L39" s="546" t="n"/>
      <c r="M39" s="546" t="n"/>
      <c r="N39" s="424" t="n"/>
      <c r="O39" s="448" t="n">
        <v>0</v>
      </c>
    </row>
    <row r="40">
      <c r="B40" s="360" t="n"/>
      <c r="C40" s="361" t="n"/>
      <c r="D40" s="362" t="n"/>
      <c r="E40" s="361" t="n"/>
      <c r="F40" s="361" t="n"/>
      <c r="G40" s="361" t="n"/>
      <c r="H40" s="361" t="n"/>
      <c r="I40" s="361" t="n"/>
      <c r="K40" s="608" t="n"/>
      <c r="L40" s="546" t="n"/>
      <c r="M40" s="546" t="n"/>
      <c r="N40" s="473" t="n"/>
    </row>
    <row r="41">
      <c r="B41" s="360" t="n"/>
      <c r="C41" s="361" t="n"/>
      <c r="D41" s="362" t="n"/>
      <c r="E41" s="361" t="n"/>
      <c r="F41" s="361" t="n"/>
      <c r="G41" s="361" t="n"/>
      <c r="H41" s="361" t="n"/>
      <c r="I41" s="361" t="n"/>
      <c r="K41" s="608" t="n"/>
      <c r="L41" s="546" t="n"/>
      <c r="M41" s="546" t="n"/>
      <c r="N41" s="472">
        <f>SUM(N2:N37)</f>
        <v/>
      </c>
      <c r="O41" s="472">
        <f>SUM(O2:O38)</f>
        <v/>
      </c>
    </row>
    <row r="42">
      <c r="B42" s="29" t="n"/>
      <c r="D42" s="30" t="n"/>
      <c r="K42" s="423" t="n"/>
      <c r="L42" s="424" t="n"/>
      <c r="M42" s="424" t="n"/>
      <c r="N42" s="424" t="n"/>
    </row>
    <row r="43">
      <c r="B43" s="29" t="n"/>
      <c r="D43" s="30" t="n"/>
      <c r="K43" s="423" t="n"/>
      <c r="L43" s="424" t="n"/>
      <c r="M43" s="424" t="n"/>
      <c r="N43" s="424" t="n"/>
    </row>
    <row r="44">
      <c r="B44" s="29" t="n"/>
      <c r="D44" s="30" t="n"/>
      <c r="K44" s="423" t="n"/>
      <c r="L44" s="424" t="n"/>
      <c r="M44" s="424" t="n"/>
      <c r="N44" s="424" t="n"/>
    </row>
    <row r="45">
      <c r="B45" s="29" t="n"/>
      <c r="D45" s="30" t="n"/>
      <c r="K45" s="423" t="n"/>
      <c r="L45" s="424" t="n"/>
      <c r="M45" s="424" t="n"/>
      <c r="N45" s="424" t="n"/>
    </row>
    <row r="46">
      <c r="B46" s="29" t="n"/>
      <c r="D46" s="30" t="n"/>
      <c r="K46" s="423" t="n"/>
      <c r="L46" s="424" t="n"/>
      <c r="M46" s="424" t="n"/>
      <c r="N46" s="424" t="n"/>
    </row>
    <row r="47">
      <c r="B47" s="29" t="n"/>
      <c r="D47" s="30" t="n"/>
      <c r="K47" s="423" t="n"/>
      <c r="L47" s="424" t="n"/>
      <c r="M47" s="424" t="n"/>
      <c r="N47" s="424" t="n"/>
    </row>
    <row r="48">
      <c r="B48" s="29" t="n"/>
      <c r="D48" s="30" t="n"/>
      <c r="K48" s="423" t="n"/>
      <c r="L48" s="424" t="n"/>
      <c r="M48" s="424" t="n"/>
      <c r="N48" s="424" t="n"/>
    </row>
    <row r="49">
      <c r="B49" s="29" t="n"/>
      <c r="D49" s="30" t="n"/>
      <c r="K49" s="423" t="n"/>
      <c r="L49" s="424" t="n"/>
      <c r="M49" s="424" t="n"/>
      <c r="N49" s="424" t="n"/>
    </row>
    <row r="50">
      <c r="B50" s="29" t="n"/>
      <c r="D50" s="30" t="n"/>
      <c r="K50" s="423" t="n"/>
      <c r="L50" s="424" t="n"/>
      <c r="M50" s="424" t="n"/>
      <c r="N50" s="424" t="n"/>
    </row>
    <row r="51">
      <c r="B51" s="29" t="n"/>
      <c r="D51" s="30" t="n"/>
      <c r="K51" s="423" t="n"/>
      <c r="L51" s="424" t="n"/>
      <c r="M51" s="424" t="n"/>
      <c r="N51" s="424" t="n"/>
    </row>
    <row r="52">
      <c r="B52" s="29" t="n"/>
      <c r="D52" s="30" t="n"/>
      <c r="K52" s="423" t="n"/>
      <c r="L52" s="424" t="n"/>
      <c r="M52" s="424" t="n"/>
      <c r="N52" s="424" t="n"/>
    </row>
    <row r="53">
      <c r="B53" s="29" t="n"/>
      <c r="D53" s="30" t="n"/>
      <c r="K53" s="423" t="n"/>
      <c r="L53" s="424" t="n"/>
      <c r="M53" s="424" t="n"/>
      <c r="N53" s="424" t="n"/>
    </row>
    <row r="54">
      <c r="B54" s="29" t="n"/>
      <c r="D54" s="30" t="n"/>
      <c r="K54" s="423" t="n"/>
      <c r="L54" s="424" t="n"/>
      <c r="M54" s="424" t="n"/>
      <c r="N54" s="424" t="n"/>
    </row>
    <row r="55">
      <c r="B55" s="29" t="n"/>
      <c r="D55" s="30" t="n"/>
      <c r="K55" s="423" t="n"/>
      <c r="L55" s="424" t="n"/>
      <c r="M55" s="424" t="n"/>
      <c r="N55" s="424" t="n"/>
    </row>
    <row r="56">
      <c r="B56" s="29" t="n"/>
      <c r="D56" s="30" t="n"/>
      <c r="K56" s="423" t="n"/>
      <c r="L56" s="424" t="n"/>
      <c r="M56" s="424" t="n"/>
      <c r="N56" s="424" t="n"/>
    </row>
    <row r="57">
      <c r="B57" s="29" t="n"/>
      <c r="D57" s="30" t="n"/>
      <c r="K57" s="423" t="n"/>
      <c r="L57" s="424" t="n"/>
      <c r="M57" s="424" t="n"/>
      <c r="N57" s="424" t="n"/>
    </row>
    <row r="58">
      <c r="B58" s="29" t="n"/>
      <c r="D58" s="30" t="n"/>
      <c r="K58" s="423" t="n"/>
      <c r="L58" s="424" t="n"/>
      <c r="M58" s="424" t="n"/>
      <c r="N58" s="424" t="n"/>
    </row>
    <row r="59">
      <c r="B59" s="29" t="n"/>
      <c r="D59" s="30" t="n"/>
      <c r="K59" s="423" t="n"/>
      <c r="L59" s="424" t="n"/>
      <c r="M59" s="424" t="n"/>
      <c r="N59" s="424" t="n"/>
    </row>
    <row r="60">
      <c r="B60" s="29" t="n"/>
      <c r="D60" s="30" t="n"/>
      <c r="K60" s="423" t="n"/>
      <c r="L60" s="424" t="n"/>
      <c r="M60" s="424" t="n"/>
      <c r="N60" s="424" t="n"/>
    </row>
    <row r="61">
      <c r="B61" s="29" t="n"/>
      <c r="D61" s="30" t="n"/>
      <c r="K61" s="423" t="n"/>
      <c r="L61" s="424" t="n"/>
      <c r="M61" s="424" t="n"/>
      <c r="N61" s="424" t="n"/>
    </row>
    <row r="62">
      <c r="B62" s="29" t="n"/>
      <c r="D62" s="30" t="n"/>
      <c r="K62" s="423" t="n"/>
      <c r="L62" s="424" t="n"/>
      <c r="M62" s="424" t="n"/>
      <c r="N62" s="424" t="n"/>
    </row>
    <row r="63">
      <c r="B63" s="29" t="n"/>
      <c r="D63" s="30" t="n"/>
      <c r="K63" s="423" t="n"/>
      <c r="L63" s="424" t="n"/>
      <c r="M63" s="424" t="n"/>
      <c r="N63" s="424" t="n"/>
    </row>
    <row r="64">
      <c r="B64" s="29" t="n"/>
      <c r="D64" s="30" t="n"/>
      <c r="K64" s="423" t="n"/>
      <c r="L64" s="424" t="n"/>
      <c r="M64" s="424" t="n"/>
      <c r="N64" s="424" t="n"/>
    </row>
    <row r="65">
      <c r="B65" s="29" t="n"/>
      <c r="D65" s="30" t="n"/>
      <c r="K65" s="423" t="n"/>
      <c r="L65" s="424" t="n"/>
      <c r="M65" s="424" t="n"/>
      <c r="N65" s="424" t="n"/>
    </row>
    <row r="66">
      <c r="B66" s="29" t="n"/>
      <c r="D66" s="30" t="n"/>
      <c r="K66" s="423" t="n"/>
      <c r="L66" s="424" t="n"/>
      <c r="M66" s="424" t="n"/>
      <c r="N66" s="424" t="n"/>
    </row>
    <row r="67">
      <c r="B67" s="29" t="n"/>
      <c r="D67" s="30" t="n"/>
      <c r="K67" s="423" t="n"/>
      <c r="L67" s="424" t="n"/>
      <c r="M67" s="424" t="n"/>
      <c r="N67" s="424" t="n"/>
    </row>
    <row r="68">
      <c r="B68" s="29" t="n"/>
      <c r="D68" s="30" t="n"/>
      <c r="K68" s="423" t="n"/>
      <c r="L68" s="424" t="n"/>
      <c r="M68" s="424" t="n"/>
      <c r="N68" s="424" t="n"/>
    </row>
    <row r="69">
      <c r="B69" s="29" t="n"/>
      <c r="D69" s="30" t="n"/>
      <c r="K69" s="423" t="n"/>
      <c r="L69" s="424" t="n"/>
      <c r="M69" s="424" t="n"/>
      <c r="N69" s="424" t="n"/>
    </row>
    <row r="70">
      <c r="B70" s="29" t="n"/>
      <c r="D70" s="30" t="n"/>
      <c r="K70" s="423" t="n"/>
      <c r="L70" s="424" t="n"/>
      <c r="M70" s="424" t="n"/>
      <c r="N70" s="424" t="n"/>
    </row>
    <row r="71">
      <c r="B71" s="29" t="n"/>
      <c r="D71" s="30" t="n"/>
      <c r="K71" s="423" t="n"/>
      <c r="L71" s="424" t="n"/>
      <c r="M71" s="424" t="n"/>
      <c r="N71" s="424" t="n"/>
    </row>
    <row r="72">
      <c r="B72" s="29" t="n"/>
      <c r="D72" s="30" t="n"/>
      <c r="K72" s="423" t="n"/>
      <c r="L72" s="424" t="n"/>
      <c r="M72" s="424" t="n"/>
      <c r="N72" s="424" t="n"/>
    </row>
    <row r="73">
      <c r="B73" s="29" t="n"/>
      <c r="D73" s="30" t="n"/>
      <c r="K73" s="423" t="n"/>
      <c r="L73" s="424" t="n"/>
      <c r="M73" s="424" t="n"/>
      <c r="N73" s="424" t="n"/>
    </row>
    <row r="74">
      <c r="B74" s="29" t="n"/>
      <c r="D74" s="30" t="n"/>
      <c r="K74" s="423" t="n"/>
      <c r="L74" s="424" t="n"/>
      <c r="M74" s="424" t="n"/>
      <c r="N74" s="424" t="n"/>
    </row>
    <row r="75">
      <c r="B75" s="29" t="n"/>
      <c r="D75" s="30" t="n"/>
      <c r="K75" s="423" t="n"/>
      <c r="L75" s="424" t="n"/>
      <c r="M75" s="424" t="n"/>
      <c r="N75" s="424" t="n"/>
    </row>
    <row r="76">
      <c r="B76" s="29" t="n"/>
      <c r="D76" s="30" t="n"/>
      <c r="K76" s="423" t="n"/>
      <c r="L76" s="424" t="n"/>
      <c r="M76" s="424" t="n"/>
      <c r="N76" s="424" t="n"/>
    </row>
    <row r="77">
      <c r="B77" s="29" t="n"/>
      <c r="D77" s="30" t="n"/>
      <c r="K77" s="423" t="n"/>
      <c r="L77" s="424" t="n"/>
      <c r="M77" s="424" t="n"/>
      <c r="N77" s="424" t="n"/>
    </row>
    <row r="78">
      <c r="B78" s="29" t="n"/>
      <c r="D78" s="30" t="n"/>
      <c r="K78" s="423" t="n"/>
      <c r="L78" s="424" t="n"/>
      <c r="M78" s="424" t="n"/>
      <c r="N78" s="424" t="n"/>
    </row>
    <row r="79">
      <c r="B79" s="29" t="n"/>
      <c r="D79" s="30" t="n"/>
      <c r="K79" s="423" t="n"/>
      <c r="L79" s="424" t="n"/>
      <c r="M79" s="424" t="n"/>
      <c r="N79" s="424" t="n"/>
    </row>
    <row r="80">
      <c r="B80" s="29" t="n"/>
      <c r="D80" s="30" t="n"/>
      <c r="K80" s="423" t="n"/>
      <c r="L80" s="424" t="n"/>
      <c r="M80" s="424" t="n"/>
      <c r="N80" s="424" t="n"/>
    </row>
    <row r="81">
      <c r="B81" s="29" t="n"/>
      <c r="D81" s="30" t="n"/>
      <c r="K81" s="423" t="n"/>
      <c r="L81" s="424" t="n"/>
      <c r="M81" s="424" t="n"/>
      <c r="N81" s="424" t="n"/>
    </row>
    <row r="82">
      <c r="B82" s="29" t="n"/>
      <c r="D82" s="30" t="n"/>
      <c r="K82" s="423" t="n"/>
      <c r="L82" s="424" t="n"/>
      <c r="M82" s="424" t="n"/>
      <c r="N82" s="424" t="n"/>
    </row>
    <row r="83">
      <c r="B83" s="29" t="n"/>
      <c r="D83" s="30" t="n"/>
      <c r="K83" s="423" t="n"/>
      <c r="L83" s="424" t="n"/>
      <c r="M83" s="424" t="n"/>
      <c r="N83" s="424" t="n"/>
    </row>
    <row r="84">
      <c r="B84" s="29" t="n"/>
      <c r="D84" s="30" t="n"/>
      <c r="K84" s="423" t="n"/>
      <c r="L84" s="424" t="n"/>
      <c r="M84" s="424" t="n"/>
      <c r="N84" s="424" t="n"/>
    </row>
    <row r="85">
      <c r="B85" s="29" t="n"/>
      <c r="D85" s="30" t="n"/>
      <c r="K85" s="423" t="n"/>
      <c r="L85" s="424" t="n"/>
      <c r="M85" s="424" t="n"/>
      <c r="N85" s="424" t="n"/>
    </row>
    <row r="86">
      <c r="B86" s="29" t="n"/>
      <c r="D86" s="30" t="n"/>
      <c r="K86" s="423" t="n"/>
      <c r="L86" s="424" t="n"/>
      <c r="M86" s="424" t="n"/>
      <c r="N86" s="424" t="n"/>
    </row>
    <row r="87">
      <c r="B87" s="29" t="n"/>
      <c r="D87" s="30" t="n"/>
      <c r="K87" s="423" t="n"/>
      <c r="L87" s="424" t="n"/>
      <c r="M87" s="424" t="n"/>
      <c r="N87" s="424" t="n"/>
    </row>
    <row r="88">
      <c r="B88" s="29" t="n"/>
      <c r="D88" s="30" t="n"/>
      <c r="K88" s="423" t="n"/>
      <c r="L88" s="424" t="n"/>
      <c r="M88" s="424" t="n"/>
      <c r="N88" s="424" t="n"/>
    </row>
    <row r="89">
      <c r="B89" s="29" t="n"/>
      <c r="D89" s="30" t="n"/>
      <c r="K89" s="423" t="n"/>
      <c r="L89" s="424" t="n"/>
      <c r="M89" s="424" t="n"/>
      <c r="N89" s="424" t="n"/>
    </row>
    <row r="90">
      <c r="B90" s="29" t="n"/>
      <c r="D90" s="30" t="n"/>
      <c r="K90" s="423" t="n"/>
      <c r="L90" s="424" t="n"/>
      <c r="M90" s="424" t="n"/>
      <c r="N90" s="424" t="n"/>
    </row>
    <row r="91">
      <c r="B91" s="29" t="n"/>
      <c r="D91" s="30" t="n"/>
      <c r="K91" s="423" t="n"/>
      <c r="L91" s="424" t="n"/>
      <c r="M91" s="424" t="n"/>
      <c r="N91" s="424" t="n"/>
    </row>
    <row r="92">
      <c r="B92" s="29" t="n"/>
      <c r="D92" s="30" t="n"/>
      <c r="K92" s="423" t="n"/>
      <c r="L92" s="424" t="n"/>
      <c r="M92" s="424" t="n"/>
      <c r="N92" s="424" t="n"/>
    </row>
    <row r="93">
      <c r="B93" s="29" t="n"/>
      <c r="D93" s="30" t="n"/>
      <c r="K93" s="423" t="n"/>
      <c r="L93" s="424" t="n"/>
      <c r="M93" s="424" t="n"/>
      <c r="N93" s="424" t="n"/>
    </row>
    <row r="94">
      <c r="B94" s="29" t="n"/>
      <c r="D94" s="30" t="n"/>
      <c r="K94" s="423" t="n"/>
      <c r="L94" s="424" t="n"/>
      <c r="M94" s="424" t="n"/>
      <c r="N94" s="424" t="n"/>
    </row>
    <row r="95">
      <c r="B95" s="29" t="n"/>
      <c r="D95" s="30" t="n"/>
      <c r="K95" s="423" t="n"/>
      <c r="L95" s="424" t="n"/>
      <c r="M95" s="424" t="n"/>
      <c r="N95" s="424" t="n"/>
    </row>
    <row r="96">
      <c r="B96" s="29" t="n"/>
      <c r="D96" s="30" t="n"/>
      <c r="K96" s="423" t="n"/>
      <c r="L96" s="424" t="n"/>
      <c r="M96" s="424" t="n"/>
      <c r="N96" s="424" t="n"/>
    </row>
    <row r="97">
      <c r="B97" s="29" t="n"/>
      <c r="D97" s="30" t="n"/>
      <c r="K97" s="423" t="n"/>
      <c r="L97" s="424" t="n"/>
      <c r="M97" s="424" t="n"/>
      <c r="N97" s="424" t="n"/>
    </row>
    <row r="98">
      <c r="B98" s="29" t="n"/>
      <c r="D98" s="30" t="n"/>
      <c r="K98" s="423" t="n"/>
      <c r="L98" s="424" t="n"/>
      <c r="M98" s="424" t="n"/>
      <c r="N98" s="424" t="n"/>
    </row>
    <row r="99">
      <c r="B99" s="29" t="n"/>
      <c r="D99" s="30" t="n"/>
      <c r="K99" s="423" t="n"/>
      <c r="L99" s="424" t="n"/>
      <c r="M99" s="424" t="n"/>
      <c r="N99" s="424" t="n"/>
    </row>
    <row r="100">
      <c r="B100" s="29" t="n"/>
      <c r="D100" s="30" t="n"/>
      <c r="K100" s="423" t="n"/>
      <c r="L100" s="424" t="n"/>
      <c r="M100" s="424" t="n"/>
      <c r="N100" s="424" t="n"/>
    </row>
    <row r="101">
      <c r="B101" s="29" t="n"/>
      <c r="D101" s="30" t="n"/>
      <c r="K101" s="423" t="n"/>
      <c r="L101" s="424" t="n"/>
      <c r="M101" s="424" t="n"/>
      <c r="N101" s="424" t="n"/>
    </row>
    <row r="102">
      <c r="B102" s="29" t="n"/>
      <c r="D102" s="30" t="n"/>
      <c r="K102" s="423" t="n"/>
      <c r="L102" s="424" t="n"/>
      <c r="M102" s="424" t="n"/>
      <c r="N102" s="424" t="n"/>
    </row>
    <row r="103">
      <c r="B103" s="29" t="n"/>
      <c r="D103" s="30" t="n"/>
      <c r="K103" s="423" t="n"/>
      <c r="L103" s="424" t="n"/>
      <c r="M103" s="424" t="n"/>
      <c r="N103" s="424" t="n"/>
    </row>
    <row r="104">
      <c r="B104" s="29" t="n"/>
      <c r="D104" s="30" t="n"/>
      <c r="K104" s="423" t="n"/>
      <c r="L104" s="424" t="n"/>
      <c r="M104" s="424" t="n"/>
      <c r="N104" s="424" t="n"/>
    </row>
    <row r="105">
      <c r="B105" s="29" t="n"/>
      <c r="D105" s="30" t="n"/>
      <c r="K105" s="423" t="n"/>
      <c r="L105" s="424" t="n"/>
      <c r="M105" s="424" t="n"/>
      <c r="N105" s="424" t="n"/>
    </row>
    <row r="106">
      <c r="B106" s="29" t="n"/>
      <c r="D106" s="30" t="n"/>
      <c r="K106" s="423" t="n"/>
      <c r="L106" s="424" t="n"/>
      <c r="M106" s="424" t="n"/>
      <c r="N106" s="424" t="n"/>
    </row>
    <row r="107">
      <c r="B107" s="29" t="n"/>
      <c r="D107" s="30" t="n"/>
      <c r="K107" s="423" t="n"/>
      <c r="L107" s="424" t="n"/>
      <c r="M107" s="424" t="n"/>
      <c r="N107" s="424" t="n"/>
    </row>
    <row r="108">
      <c r="B108" s="29" t="n"/>
      <c r="D108" s="30" t="n"/>
      <c r="K108" s="423" t="n"/>
      <c r="L108" s="424" t="n"/>
      <c r="M108" s="424" t="n"/>
      <c r="N108" s="424" t="n"/>
    </row>
    <row r="109">
      <c r="B109" s="29" t="n"/>
      <c r="D109" s="30" t="n"/>
      <c r="K109" s="423" t="n"/>
      <c r="L109" s="424" t="n"/>
      <c r="M109" s="424" t="n"/>
      <c r="N109" s="424" t="n"/>
    </row>
    <row r="110">
      <c r="B110" s="29" t="n"/>
      <c r="D110" s="30" t="n"/>
      <c r="K110" s="423" t="n"/>
      <c r="L110" s="424" t="n"/>
      <c r="M110" s="424" t="n"/>
      <c r="N110" s="424" t="n"/>
    </row>
    <row r="111">
      <c r="B111" s="29" t="n"/>
      <c r="D111" s="30" t="n"/>
      <c r="K111" s="423" t="n"/>
      <c r="L111" s="424" t="n"/>
      <c r="M111" s="424" t="n"/>
      <c r="N111" s="424" t="n"/>
    </row>
    <row r="112">
      <c r="B112" s="29" t="n"/>
      <c r="D112" s="30" t="n"/>
      <c r="K112" s="423" t="n"/>
      <c r="L112" s="424" t="n"/>
      <c r="M112" s="424" t="n"/>
      <c r="N112" s="424" t="n"/>
    </row>
    <row r="113">
      <c r="B113" s="29" t="n"/>
      <c r="D113" s="30" t="n"/>
      <c r="K113" s="423" t="n"/>
      <c r="L113" s="424" t="n"/>
      <c r="M113" s="424" t="n"/>
      <c r="N113" s="424" t="n"/>
    </row>
    <row r="114">
      <c r="B114" s="29" t="n"/>
      <c r="D114" s="30" t="n"/>
      <c r="K114" s="423" t="n"/>
      <c r="L114" s="424" t="n"/>
      <c r="M114" s="424" t="n"/>
      <c r="N114" s="424" t="n"/>
    </row>
    <row r="115">
      <c r="B115" s="29" t="n"/>
      <c r="D115" s="30" t="n"/>
      <c r="K115" s="423" t="n"/>
      <c r="L115" s="424" t="n"/>
      <c r="M115" s="424" t="n"/>
      <c r="N115" s="424" t="n"/>
    </row>
    <row r="116">
      <c r="B116" s="29" t="n"/>
      <c r="D116" s="30" t="n"/>
      <c r="K116" s="423" t="n"/>
      <c r="L116" s="424" t="n"/>
      <c r="M116" s="424" t="n"/>
      <c r="N116" s="424" t="n"/>
    </row>
    <row r="117">
      <c r="B117" s="29" t="n"/>
      <c r="D117" s="30" t="n"/>
      <c r="K117" s="423" t="n"/>
      <c r="L117" s="424" t="n"/>
      <c r="M117" s="424" t="n"/>
      <c r="N117" s="424" t="n"/>
    </row>
    <row r="118">
      <c r="B118" s="29" t="n"/>
      <c r="D118" s="30" t="n"/>
      <c r="K118" s="423" t="n"/>
      <c r="L118" s="424" t="n"/>
      <c r="M118" s="424" t="n"/>
      <c r="N118" s="424" t="n"/>
    </row>
    <row r="119">
      <c r="B119" s="29" t="n"/>
      <c r="D119" s="30" t="n"/>
      <c r="K119" s="423" t="n"/>
      <c r="L119" s="424" t="n"/>
      <c r="M119" s="424" t="n"/>
      <c r="N119" s="424" t="n"/>
    </row>
    <row r="120">
      <c r="B120" s="29" t="n"/>
      <c r="D120" s="30" t="n"/>
      <c r="K120" s="423" t="n"/>
      <c r="L120" s="424" t="n"/>
      <c r="M120" s="424" t="n"/>
      <c r="N120" s="424" t="n"/>
    </row>
    <row r="121">
      <c r="B121" s="29" t="n"/>
      <c r="D121" s="30" t="n"/>
      <c r="K121" s="423" t="n"/>
      <c r="L121" s="424" t="n"/>
      <c r="M121" s="424" t="n"/>
      <c r="N121" s="424" t="n"/>
    </row>
    <row r="122">
      <c r="B122" s="29" t="n"/>
      <c r="D122" s="30" t="n"/>
      <c r="K122" s="423" t="n"/>
      <c r="L122" s="424" t="n"/>
      <c r="M122" s="424" t="n"/>
      <c r="N122" s="424" t="n"/>
    </row>
    <row r="123">
      <c r="B123" s="29" t="n"/>
      <c r="D123" s="30" t="n"/>
      <c r="K123" s="423" t="n"/>
      <c r="L123" s="424" t="n"/>
      <c r="M123" s="424" t="n"/>
      <c r="N123" s="424" t="n"/>
    </row>
    <row r="124">
      <c r="B124" s="29" t="n"/>
      <c r="D124" s="30" t="n"/>
      <c r="K124" s="423" t="n"/>
      <c r="L124" s="424" t="n"/>
      <c r="M124" s="424" t="n"/>
      <c r="N124" s="424" t="n"/>
    </row>
    <row r="125">
      <c r="B125" s="29" t="n"/>
      <c r="D125" s="30" t="n"/>
      <c r="K125" s="423" t="n"/>
      <c r="L125" s="424" t="n"/>
      <c r="M125" s="424" t="n"/>
      <c r="N125" s="424" t="n"/>
    </row>
    <row r="126">
      <c r="B126" s="29" t="n"/>
      <c r="D126" s="30" t="n"/>
      <c r="K126" s="423" t="n"/>
      <c r="L126" s="424" t="n"/>
      <c r="M126" s="424" t="n"/>
      <c r="N126" s="424" t="n"/>
    </row>
    <row r="127">
      <c r="B127" s="29" t="n"/>
      <c r="D127" s="30" t="n"/>
      <c r="K127" s="423" t="n"/>
      <c r="L127" s="424" t="n"/>
      <c r="M127" s="424" t="n"/>
      <c r="N127" s="424" t="n"/>
    </row>
    <row r="128">
      <c r="B128" s="29" t="n"/>
      <c r="D128" s="30" t="n"/>
      <c r="K128" s="423" t="n"/>
      <c r="L128" s="424" t="n"/>
      <c r="M128" s="424" t="n"/>
      <c r="N128" s="424" t="n"/>
    </row>
    <row r="129">
      <c r="B129" s="29" t="n"/>
      <c r="D129" s="30" t="n"/>
      <c r="K129" s="423" t="n"/>
      <c r="L129" s="424" t="n"/>
      <c r="M129" s="424" t="n"/>
      <c r="N129" s="424" t="n"/>
    </row>
    <row r="130">
      <c r="B130" s="29" t="n"/>
      <c r="D130" s="30" t="n"/>
      <c r="K130" s="423" t="n"/>
      <c r="L130" s="424" t="n"/>
      <c r="M130" s="424" t="n"/>
      <c r="N130" s="424" t="n"/>
    </row>
    <row r="131">
      <c r="B131" s="29" t="n"/>
      <c r="D131" s="30" t="n"/>
      <c r="K131" s="423" t="n"/>
      <c r="L131" s="424" t="n"/>
      <c r="M131" s="424" t="n"/>
      <c r="N131" s="424" t="n"/>
    </row>
    <row r="132">
      <c r="B132" s="29" t="n"/>
      <c r="D132" s="30" t="n"/>
      <c r="K132" s="423" t="n"/>
      <c r="L132" s="424" t="n"/>
      <c r="M132" s="424" t="n"/>
      <c r="N132" s="424" t="n"/>
    </row>
    <row r="133">
      <c r="B133" s="29" t="n"/>
      <c r="D133" s="30" t="n"/>
      <c r="K133" s="423" t="n"/>
      <c r="L133" s="424" t="n"/>
      <c r="M133" s="424" t="n"/>
      <c r="N133" s="424" t="n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D value</t>
        </is>
      </c>
      <c r="B1" t="inlineStr">
        <is>
          <t>Included?</t>
        </is>
      </c>
      <c r="C1" t="inlineStr">
        <is>
          <t>Reason</t>
        </is>
      </c>
    </row>
    <row r="2">
      <c r="A2" t="inlineStr">
        <is>
          <t>`Abble RN377`</t>
        </is>
      </c>
      <c r="B2" t="inlineStr">
        <is>
          <t>✅</t>
        </is>
      </c>
      <c r="C2" t="inlineStr">
        <is>
          <t>Contains Abble</t>
        </is>
      </c>
    </row>
    <row r="3">
      <c r="A3" t="inlineStr">
        <is>
          <t>`Eva TZ9800`</t>
        </is>
      </c>
      <c r="B3" t="inlineStr">
        <is>
          <t>❌</t>
        </is>
      </c>
      <c r="C3" t="inlineStr">
        <is>
          <t>Eva excluded</t>
        </is>
      </c>
    </row>
    <row r="4">
      <c r="A4" t="inlineStr">
        <is>
          <t>`Keith CK9898`</t>
        </is>
      </c>
      <c r="B4" t="inlineStr">
        <is>
          <t>❌</t>
        </is>
      </c>
      <c r="C4" t="inlineStr">
        <is>
          <t>Keith excluded</t>
        </is>
      </c>
    </row>
    <row r="5">
      <c r="A5" t="inlineStr">
        <is>
          <t>`Ricky ZJ6071`</t>
        </is>
      </c>
      <c r="B5" t="inlineStr">
        <is>
          <t>❌</t>
        </is>
      </c>
      <c r="C5" t="inlineStr">
        <is>
          <t>Ricky excluded</t>
        </is>
      </c>
    </row>
    <row r="6">
      <c r="A6" t="inlineStr">
        <is>
          <t>`Stanley LJ9800`</t>
        </is>
      </c>
      <c r="B6" t="inlineStr">
        <is>
          <t>✅</t>
        </is>
      </c>
      <c r="C6" t="inlineStr">
        <is>
          <t>Not Eva/Keith/Ricky</t>
        </is>
      </c>
    </row>
    <row r="7">
      <c r="A7" t="inlineStr">
        <is>
          <t>`Abble &amp; Eva`</t>
        </is>
      </c>
      <c r="B7" t="inlineStr">
        <is>
          <t>✅</t>
        </is>
      </c>
      <c r="C7" t="inlineStr">
        <is>
          <t>Abble wins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kelly</dc:creator>
  <dcterms:created xmlns:dcterms="http://purl.org/dc/terms/" xmlns:xsi="http://www.w3.org/2001/XMLSchema-instance" xsi:type="dcterms:W3CDTF">2020-09-30T10:36:32Z</dcterms:created>
  <dcterms:modified xmlns:dcterms="http://purl.org/dc/terms/" xmlns:xsi="http://www.w3.org/2001/XMLSchema-instance" xsi:type="dcterms:W3CDTF">2026-03-28T13:06:26Z</dcterms:modified>
  <cp:lastModifiedBy>LaiRicky</cp:lastModifiedBy>
</cp:coreProperties>
</file>