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rturegcom.sharepoint.com/sites/ARScs/Shared Documents/General/"/>
    </mc:Choice>
  </mc:AlternateContent>
  <xr:revisionPtr revIDLastSave="2473" documentId="13_ncr:1_{582CA88A-887C-477B-804B-19B87BB214B4}" xr6:coauthVersionLast="47" xr6:coauthVersionMax="47" xr10:uidLastSave="{FFCEB91C-6AED-4B20-97C8-C47150879A2F}"/>
  <bookViews>
    <workbookView xWindow="-108" yWindow="-108" windowWidth="23256" windowHeight="13896" firstSheet="24" activeTab="31" xr2:uid="{00000000-000D-0000-FFFF-FFFF00000000}"/>
  </bookViews>
  <sheets>
    <sheet name="車輛司機備忘" sheetId="1" r:id="rId1"/>
    <sheet name="1MAR2026" sheetId="2" r:id="rId2"/>
    <sheet name="2MAR2026" sheetId="3" r:id="rId3"/>
    <sheet name="3MAR2026" sheetId="4" r:id="rId4"/>
    <sheet name="4MAR2026" sheetId="5" r:id="rId5"/>
    <sheet name="5MAR2026" sheetId="6" r:id="rId6"/>
    <sheet name="6MAR2026" sheetId="7" r:id="rId7"/>
    <sheet name="7MAR2026" sheetId="8" r:id="rId8"/>
    <sheet name="8MAR2026" sheetId="9" r:id="rId9"/>
    <sheet name="9MAR2026" sheetId="10" r:id="rId10"/>
    <sheet name="10MAR2026" sheetId="11" r:id="rId11"/>
    <sheet name="11MAR2026" sheetId="13" r:id="rId12"/>
    <sheet name="12MAR2026" sheetId="14" r:id="rId13"/>
    <sheet name="13MAR2026" sheetId="15" r:id="rId14"/>
    <sheet name="14MAR2026" sheetId="16" r:id="rId15"/>
    <sheet name="15MAR2026" sheetId="18" r:id="rId16"/>
    <sheet name="16MAR2026" sheetId="17" r:id="rId17"/>
    <sheet name="17MAR2026" sheetId="20" r:id="rId18"/>
    <sheet name="18MAR2026" sheetId="19" r:id="rId19"/>
    <sheet name="19MAR2026" sheetId="21" r:id="rId20"/>
    <sheet name="20MAR2026" sheetId="22" r:id="rId21"/>
    <sheet name="21MAR2026" sheetId="23" r:id="rId22"/>
    <sheet name="22MAR2026" sheetId="24" r:id="rId23"/>
    <sheet name="23MAR2026" sheetId="25" r:id="rId24"/>
    <sheet name="24MAR2026" sheetId="27" r:id="rId25"/>
    <sheet name="25MAR2026" sheetId="29" r:id="rId26"/>
    <sheet name="26MAR2026" sheetId="28" r:id="rId27"/>
    <sheet name="27MAR2026" sheetId="30" r:id="rId28"/>
    <sheet name="28MAR2026" sheetId="26" r:id="rId29"/>
    <sheet name="29MAR2026" sheetId="31" r:id="rId30"/>
    <sheet name="30MAR2026" sheetId="32" r:id="rId31"/>
    <sheet name="31MAR2026" sheetId="33" r:id="rId32"/>
    <sheet name="工作表1" sheetId="34" r:id="rId33"/>
    <sheet name="ON HIRE" sheetId="35" r:id="rId34"/>
    <sheet name="Sheet1" sheetId="36" r:id="rId35"/>
  </sheets>
  <definedNames>
    <definedName name="_xlnm._FilterDatabase" localSheetId="10" hidden="1">'10MAR2026'!$A$1:$N$34</definedName>
    <definedName name="_xlnm._FilterDatabase" localSheetId="11" hidden="1">'11MAR2026'!$A$1:$N$37</definedName>
    <definedName name="_xlnm._FilterDatabase" localSheetId="13" hidden="1">'13MAR2026'!$A$1:$N$36</definedName>
    <definedName name="_xlnm._FilterDatabase" localSheetId="15" hidden="1">'15MAR2026'!$B$1:$B$134</definedName>
    <definedName name="_xlnm._FilterDatabase" localSheetId="1" hidden="1">'1MAR2026'!$B$1:$B$134</definedName>
    <definedName name="_xlnm._FilterDatabase" localSheetId="4" hidden="1">'4MAR2026'!$A$1:$N$39</definedName>
    <definedName name="_xlnm._FilterDatabase" localSheetId="6" hidden="1">'6MAR2026'!$A$1:$N$39</definedName>
    <definedName name="_xlnm._FilterDatabase" localSheetId="8" hidden="1">'8MAR2026'!$A$1:$N$36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5" l="1"/>
  <c r="M5" i="25"/>
  <c r="M3" i="25"/>
  <c r="M6" i="24"/>
  <c r="M5" i="24"/>
  <c r="M6" i="23"/>
  <c r="M18" i="22"/>
  <c r="M10" i="22"/>
  <c r="M6" i="22"/>
  <c r="M4" i="22"/>
  <c r="M7" i="21"/>
  <c r="M5" i="21"/>
  <c r="M14" i="19"/>
  <c r="M12" i="19"/>
  <c r="M9" i="19"/>
  <c r="M6" i="19"/>
  <c r="M4" i="19"/>
  <c r="M14" i="17"/>
  <c r="M8" i="17"/>
  <c r="M21" i="18"/>
  <c r="M4" i="17"/>
  <c r="M5" i="17"/>
  <c r="M3" i="17"/>
  <c r="M14" i="18"/>
  <c r="M9" i="18"/>
  <c r="M5" i="18"/>
  <c r="M17" i="16"/>
  <c r="M12" i="16"/>
  <c r="M11" i="16"/>
  <c r="M8" i="16"/>
  <c r="M6" i="16"/>
  <c r="M8" i="15"/>
  <c r="M7" i="15"/>
  <c r="M5" i="15"/>
  <c r="M4" i="15"/>
  <c r="M19" i="14"/>
  <c r="M16" i="14"/>
  <c r="M15" i="14"/>
  <c r="M11" i="14"/>
  <c r="M10" i="14"/>
  <c r="M8" i="14"/>
  <c r="M5" i="14"/>
  <c r="M5" i="13"/>
  <c r="M2" i="13"/>
  <c r="M9" i="11"/>
  <c r="M4" i="11"/>
  <c r="M12" i="10"/>
  <c r="M9" i="10"/>
  <c r="M5" i="10"/>
  <c r="M8" i="9"/>
  <c r="M10" i="8"/>
  <c r="M4" i="9"/>
  <c r="M4" i="8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4" i="7"/>
  <c r="M12" i="6"/>
  <c r="M10" i="6"/>
  <c r="M8" i="6"/>
  <c r="M5" i="6"/>
  <c r="M3" i="6"/>
  <c r="M6" i="5"/>
  <c r="M5" i="5"/>
  <c r="M6" i="4"/>
  <c r="M5" i="4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8" i="3"/>
  <c r="M8" i="33"/>
  <c r="M5" i="32"/>
  <c r="M8" i="31"/>
  <c r="M4" i="31"/>
  <c r="M3" i="31"/>
  <c r="M4" i="30"/>
  <c r="M15" i="28"/>
  <c r="N40" i="28"/>
  <c r="N40" i="30"/>
  <c r="N40" i="26"/>
  <c r="N40" i="31"/>
  <c r="N40" i="32"/>
  <c r="N40" i="33"/>
  <c r="N40" i="6"/>
  <c r="M14" i="28"/>
  <c r="M7" i="28"/>
  <c r="M4" i="28"/>
  <c r="M3" i="29"/>
  <c r="M4" i="27"/>
  <c r="M4" i="24"/>
  <c r="M18" i="21"/>
  <c r="M8" i="21"/>
  <c r="M3" i="21"/>
  <c r="M5" i="19"/>
  <c r="M7" i="20"/>
  <c r="M4" i="20"/>
  <c r="N40" i="17"/>
  <c r="N40" i="20"/>
  <c r="N40" i="21"/>
  <c r="N40" i="22"/>
  <c r="N40" i="23"/>
  <c r="N40" i="24"/>
  <c r="N40" i="25"/>
  <c r="N40" i="27"/>
  <c r="M7" i="17"/>
  <c r="M9" i="17"/>
  <c r="M10" i="17"/>
  <c r="M11" i="17"/>
  <c r="M12" i="17"/>
  <c r="M13" i="17"/>
  <c r="M2" i="20"/>
  <c r="M3" i="20"/>
  <c r="M5" i="20"/>
  <c r="M40" i="20"/>
  <c r="M6" i="20"/>
  <c r="M8" i="20"/>
  <c r="M9" i="20"/>
  <c r="M10" i="20"/>
  <c r="M13" i="20"/>
  <c r="M2" i="21"/>
  <c r="M4" i="21"/>
  <c r="M6" i="21"/>
  <c r="M14" i="21"/>
  <c r="M9" i="21"/>
  <c r="M10" i="21"/>
  <c r="M40" i="21"/>
  <c r="M11" i="21"/>
  <c r="M12" i="21"/>
  <c r="M13" i="21"/>
  <c r="M15" i="21"/>
  <c r="M16" i="21"/>
  <c r="M17" i="21"/>
  <c r="M19" i="21"/>
  <c r="M20" i="21"/>
  <c r="M2" i="22"/>
  <c r="M3" i="22"/>
  <c r="M5" i="22"/>
  <c r="M7" i="22"/>
  <c r="M8" i="22"/>
  <c r="M9" i="22"/>
  <c r="M11" i="22"/>
  <c r="M12" i="22"/>
  <c r="M13" i="22"/>
  <c r="M14" i="22"/>
  <c r="M15" i="22"/>
  <c r="M16" i="22"/>
  <c r="M17" i="22"/>
  <c r="M40" i="22"/>
  <c r="M2" i="23"/>
  <c r="M3" i="23"/>
  <c r="M5" i="23"/>
  <c r="M7" i="23"/>
  <c r="M8" i="23"/>
  <c r="M9" i="23"/>
  <c r="M40" i="23"/>
  <c r="M10" i="23"/>
  <c r="M2" i="24"/>
  <c r="M3" i="24"/>
  <c r="M7" i="24"/>
  <c r="M8" i="24"/>
  <c r="M9" i="24"/>
  <c r="M10" i="24"/>
  <c r="M40" i="24"/>
  <c r="M2" i="25"/>
  <c r="M4" i="25"/>
  <c r="M6" i="25"/>
  <c r="M7" i="25"/>
  <c r="M8" i="25"/>
  <c r="M9" i="25"/>
  <c r="M11" i="25"/>
  <c r="M12" i="25"/>
  <c r="M13" i="25"/>
  <c r="M14" i="25"/>
  <c r="M15" i="25"/>
  <c r="M40" i="25"/>
  <c r="M2" i="27"/>
  <c r="M3" i="27"/>
  <c r="M5" i="27"/>
  <c r="M6" i="27"/>
  <c r="M7" i="27"/>
  <c r="M2" i="28"/>
  <c r="M40" i="28"/>
  <c r="M3" i="28"/>
  <c r="M5" i="28"/>
  <c r="M6" i="28"/>
  <c r="M8" i="28"/>
  <c r="M9" i="28"/>
  <c r="M10" i="28"/>
  <c r="M11" i="28"/>
  <c r="M12" i="28"/>
  <c r="M13" i="28"/>
  <c r="M2" i="30"/>
  <c r="M3" i="30"/>
  <c r="M5" i="30"/>
  <c r="M40" i="30"/>
  <c r="M2" i="26"/>
  <c r="M3" i="26"/>
  <c r="M40" i="26"/>
  <c r="M2" i="31"/>
  <c r="M5" i="31"/>
  <c r="M6" i="31"/>
  <c r="M7" i="31"/>
  <c r="M9" i="31"/>
  <c r="M10" i="31"/>
  <c r="M40" i="31"/>
  <c r="M2" i="32"/>
  <c r="M40" i="32"/>
  <c r="M3" i="32"/>
  <c r="M4" i="32"/>
  <c r="M6" i="32"/>
  <c r="M7" i="32"/>
  <c r="M8" i="32"/>
  <c r="M9" i="32"/>
  <c r="M2" i="33"/>
  <c r="M40" i="33"/>
  <c r="M3" i="33"/>
  <c r="M4" i="33"/>
  <c r="M5" i="33"/>
  <c r="M6" i="33"/>
  <c r="M7" i="33"/>
  <c r="M13" i="33"/>
  <c r="M6" i="17"/>
  <c r="M2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N40" i="18"/>
  <c r="N40" i="16"/>
  <c r="N40" i="15"/>
  <c r="N40" i="14"/>
  <c r="N40" i="13"/>
  <c r="N40" i="11"/>
  <c r="N40" i="10"/>
  <c r="N40" i="9"/>
  <c r="N40" i="8"/>
  <c r="N40" i="7"/>
  <c r="N40" i="5"/>
  <c r="N40" i="4"/>
  <c r="N40" i="3"/>
  <c r="N40" i="2"/>
  <c r="M9" i="33"/>
  <c r="M10" i="33"/>
  <c r="M11" i="33"/>
  <c r="M12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10" i="32"/>
  <c r="M11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M38" i="32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6" i="30"/>
  <c r="M7" i="30"/>
  <c r="M8" i="30"/>
  <c r="M9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8" i="27"/>
  <c r="M40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11" i="20"/>
  <c r="M12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2" i="18"/>
  <c r="M3" i="18"/>
  <c r="M4" i="18"/>
  <c r="M6" i="18"/>
  <c r="M7" i="18"/>
  <c r="M8" i="18"/>
  <c r="M10" i="18"/>
  <c r="M11" i="18"/>
  <c r="M13" i="18"/>
  <c r="M15" i="18"/>
  <c r="M16" i="18"/>
  <c r="M40" i="18"/>
  <c r="M17" i="18"/>
  <c r="M18" i="18"/>
  <c r="M19" i="18"/>
  <c r="M20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2" i="16"/>
  <c r="M3" i="16"/>
  <c r="M4" i="16"/>
  <c r="M5" i="16"/>
  <c r="M7" i="16"/>
  <c r="M9" i="16"/>
  <c r="M10" i="16"/>
  <c r="M13" i="16"/>
  <c r="M14" i="16"/>
  <c r="M15" i="16"/>
  <c r="M16" i="16"/>
  <c r="M40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2" i="15"/>
  <c r="M3" i="15"/>
  <c r="M6" i="15"/>
  <c r="M9" i="15"/>
  <c r="M10" i="15"/>
  <c r="M11" i="15"/>
  <c r="M12" i="15"/>
  <c r="M40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2" i="14"/>
  <c r="M3" i="14"/>
  <c r="M4" i="14"/>
  <c r="M6" i="14"/>
  <c r="M7" i="14"/>
  <c r="M9" i="14"/>
  <c r="M12" i="14"/>
  <c r="M13" i="14"/>
  <c r="M14" i="14"/>
  <c r="M17" i="14"/>
  <c r="M18" i="14"/>
  <c r="M20" i="14"/>
  <c r="M4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" i="13"/>
  <c r="M4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2" i="11"/>
  <c r="M3" i="11"/>
  <c r="M5" i="11"/>
  <c r="M6" i="11"/>
  <c r="M7" i="11"/>
  <c r="M8" i="11"/>
  <c r="M10" i="11"/>
  <c r="M40" i="11"/>
  <c r="M11" i="11"/>
  <c r="M2" i="10"/>
  <c r="M3" i="10"/>
  <c r="M4" i="10"/>
  <c r="M6" i="10"/>
  <c r="M7" i="10"/>
  <c r="M8" i="10"/>
  <c r="M10" i="10"/>
  <c r="M11" i="10"/>
  <c r="M13" i="10"/>
  <c r="M14" i="10"/>
  <c r="M15" i="10"/>
  <c r="M16" i="10"/>
  <c r="M40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2" i="9"/>
  <c r="M3" i="9"/>
  <c r="M5" i="9"/>
  <c r="M6" i="9"/>
  <c r="M7" i="9"/>
  <c r="M40" i="9"/>
  <c r="M9" i="9"/>
  <c r="M10" i="9"/>
  <c r="M11" i="9"/>
  <c r="M12" i="9"/>
  <c r="M13" i="9"/>
  <c r="M14" i="9"/>
  <c r="M2" i="8"/>
  <c r="M3" i="8"/>
  <c r="M5" i="8"/>
  <c r="M6" i="8"/>
  <c r="M7" i="8"/>
  <c r="M8" i="8"/>
  <c r="M9" i="8"/>
  <c r="M4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2" i="7"/>
  <c r="M3" i="7"/>
  <c r="M5" i="7"/>
  <c r="M6" i="7"/>
  <c r="M7" i="7"/>
  <c r="M8" i="7"/>
  <c r="M40" i="7"/>
  <c r="M2" i="6"/>
  <c r="M4" i="6"/>
  <c r="M6" i="6"/>
  <c r="M7" i="6"/>
  <c r="M9" i="6"/>
  <c r="M11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40" i="6"/>
  <c r="M2" i="5"/>
  <c r="M3" i="5"/>
  <c r="M4" i="5"/>
  <c r="M7" i="5"/>
  <c r="M8" i="5"/>
  <c r="M9" i="5"/>
  <c r="M40" i="5"/>
  <c r="M10" i="5"/>
  <c r="M2" i="4"/>
  <c r="M3" i="4"/>
  <c r="M4" i="4"/>
  <c r="M40" i="4"/>
  <c r="M7" i="4"/>
  <c r="M8" i="4"/>
  <c r="M9" i="4"/>
  <c r="M10" i="4"/>
  <c r="M11" i="4"/>
  <c r="M2" i="3"/>
  <c r="M3" i="3"/>
  <c r="M4" i="3"/>
  <c r="M5" i="3"/>
  <c r="M6" i="3"/>
  <c r="M7" i="3"/>
  <c r="M9" i="3"/>
  <c r="M10" i="3"/>
  <c r="M40" i="3"/>
  <c r="M2" i="2"/>
  <c r="M3" i="2"/>
  <c r="M4" i="2"/>
  <c r="M5" i="2"/>
  <c r="M6" i="2"/>
  <c r="M7" i="2"/>
  <c r="M8" i="2"/>
  <c r="M9" i="2"/>
  <c r="M10" i="2"/>
  <c r="M11" i="2"/>
  <c r="M40" i="2"/>
  <c r="N40" i="29"/>
  <c r="M2" i="29"/>
  <c r="M40" i="29"/>
  <c r="M4" i="29"/>
  <c r="M5" i="29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N40" i="19"/>
  <c r="M2" i="19"/>
  <c r="M3" i="19"/>
  <c r="M7" i="19"/>
  <c r="M8" i="19"/>
  <c r="M10" i="19"/>
  <c r="M11" i="19"/>
  <c r="M13" i="19"/>
  <c r="M15" i="19"/>
  <c r="M40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41" i="35"/>
  <c r="O41" i="35"/>
  <c r="M40" i="13"/>
  <c r="M40" i="17"/>
</calcChain>
</file>

<file path=xl/sharedStrings.xml><?xml version="1.0" encoding="utf-8"?>
<sst xmlns="http://schemas.openxmlformats.org/spreadsheetml/2006/main" count="1793" uniqueCount="529">
  <si>
    <t>司機價表</t>
  </si>
  <si>
    <t> </t>
  </si>
  <si>
    <t>九龍</t>
  </si>
  <si>
    <t>港島</t>
  </si>
  <si>
    <t>機場/東涌</t>
  </si>
  <si>
    <t>大埔/上水</t>
  </si>
  <si>
    <t>西貢</t>
  </si>
  <si>
    <t>元朗市/落馬洲</t>
  </si>
  <si>
    <t>將軍澳</t>
  </si>
  <si>
    <t>沙田</t>
  </si>
  <si>
    <t>郵碼</t>
  </si>
  <si>
    <t>400/430</t>
  </si>
  <si>
    <t>NA</t>
  </si>
  <si>
    <t>Disney &gt; AP</t>
  </si>
  <si>
    <t xml:space="preserve">AP &gt; Disney </t>
  </si>
  <si>
    <t>東涌　＞ＡＰ</t>
  </si>
  <si>
    <t>ＡＰ＞　東涌</t>
  </si>
  <si>
    <t>Ord No.</t>
  </si>
  <si>
    <t>Time</t>
    <phoneticPr fontId="0" type="noConversion"/>
  </si>
  <si>
    <t>Trip</t>
  </si>
  <si>
    <t>Driver</t>
    <phoneticPr fontId="0" type="noConversion"/>
  </si>
  <si>
    <t>Status</t>
    <phoneticPr fontId="0" type="noConversion"/>
  </si>
  <si>
    <t>Pick</t>
    <phoneticPr fontId="0" type="noConversion"/>
  </si>
  <si>
    <t>Drop</t>
    <phoneticPr fontId="0" type="noConversion"/>
  </si>
  <si>
    <t>Decp</t>
    <phoneticPr fontId="0" type="noConversion"/>
  </si>
  <si>
    <t>Ptime</t>
    <phoneticPr fontId="0" type="noConversion"/>
  </si>
  <si>
    <t>Driver.Details</t>
  </si>
  <si>
    <t>Dvr.OT</t>
  </si>
  <si>
    <t>Dvr.C</t>
  </si>
  <si>
    <t>Driver.C+OT</t>
  </si>
  <si>
    <t>Bouns</t>
  </si>
  <si>
    <t>543903</t>
  </si>
  <si>
    <t>TST-AP</t>
  </si>
  <si>
    <t>Stanley LJ9800 9828 6100</t>
  </si>
  <si>
    <t>Done</t>
  </si>
  <si>
    <t>OT $60</t>
  </si>
  <si>
    <t>543905</t>
  </si>
  <si>
    <t>544166</t>
  </si>
  <si>
    <t>3V951 &gt; Cordis</t>
  </si>
  <si>
    <t xml:space="preserve">(Ricky 已付） Donny DC8685 62258245 </t>
  </si>
  <si>
    <t>P$35</t>
  </si>
  <si>
    <t>542629</t>
  </si>
  <si>
    <t>Ricky ZJ6071 5108 9715</t>
  </si>
  <si>
    <t>495451</t>
  </si>
  <si>
    <t>啟德 onhire</t>
  </si>
  <si>
    <t>4 hour on hire, 機場$200隧道$42</t>
  </si>
  <si>
    <t>Holland America-westerdam-Kai Tak- nan loan cat street- peak- AP</t>
  </si>
  <si>
    <t xml:space="preserve">544167 </t>
  </si>
  <si>
    <t>Cordis &gt; AP</t>
  </si>
  <si>
    <t>Fung UG5103 98036203</t>
  </si>
  <si>
    <t>544125</t>
  </si>
  <si>
    <t>Keith CK9898 9888 0261</t>
  </si>
  <si>
    <t>544024</t>
  </si>
  <si>
    <t>富豪機場-T S T</t>
  </si>
  <si>
    <t>Trip</t>
    <phoneticPr fontId="0" type="noConversion"/>
  </si>
  <si>
    <t>3V953 &gt; Cordis</t>
  </si>
  <si>
    <t>P $35 ， OT $60</t>
  </si>
  <si>
    <t>（Ricky 已付）街車</t>
  </si>
  <si>
    <t>Jackson WD3650 9511 2089</t>
  </si>
  <si>
    <t>544284</t>
  </si>
  <si>
    <t>3V401A &gt; Cordis</t>
  </si>
  <si>
    <t xml:space="preserve">(Ricky 已付)Fenton HH519 </t>
  </si>
  <si>
    <t>公司收OT $60 ， P $35</t>
  </si>
  <si>
    <t>544285</t>
  </si>
  <si>
    <t>3V401 &gt; Cordis</t>
  </si>
  <si>
    <t>Anthony YV139 6682 6557</t>
  </si>
  <si>
    <t>P $35</t>
  </si>
  <si>
    <t>544095</t>
  </si>
  <si>
    <t>M B 300 -TST</t>
  </si>
  <si>
    <t>Bob NH4116 9559 2345</t>
  </si>
  <si>
    <t>542632</t>
  </si>
  <si>
    <t>544086</t>
  </si>
  <si>
    <t>A F 0188 -T S T</t>
  </si>
  <si>
    <t>P $64 ，wait 0.5 hour$90公司收</t>
  </si>
  <si>
    <t>544094</t>
  </si>
  <si>
    <t>TST -A P</t>
  </si>
  <si>
    <t>544096</t>
  </si>
  <si>
    <t>Driver</t>
  </si>
  <si>
    <t>544416</t>
  </si>
  <si>
    <t>Cordis &gt; ap</t>
  </si>
  <si>
    <t>544479</t>
  </si>
  <si>
    <t>CX 254 -T S T</t>
  </si>
  <si>
    <t>544423</t>
  </si>
  <si>
    <t>QY516 &gt; Cordis</t>
  </si>
  <si>
    <t>Ivan FN655 9261 2485</t>
  </si>
  <si>
    <t>Fung TG1211 9803 6203</t>
  </si>
  <si>
    <t>544382</t>
  </si>
  <si>
    <t>淺水灣-AP</t>
  </si>
  <si>
    <t>Eva TZ9800 9706 2468</t>
  </si>
  <si>
    <t>OT $60 ，南區$60，西隧$40</t>
  </si>
  <si>
    <t>544642</t>
  </si>
  <si>
    <t>544291</t>
  </si>
  <si>
    <t>Chris WW9989 9387 4976</t>
  </si>
  <si>
    <t>Rayon TS4639 95166822</t>
  </si>
  <si>
    <t>544767</t>
  </si>
  <si>
    <t>544783</t>
  </si>
  <si>
    <t>AP &gt; Cordis</t>
  </si>
  <si>
    <t>544313</t>
  </si>
  <si>
    <t>HX239 &gt; 港麗</t>
  </si>
  <si>
    <t>Jacky CT8022 6998 6953</t>
  </si>
  <si>
    <t>西隧$40</t>
  </si>
  <si>
    <t>544485</t>
  </si>
  <si>
    <t>MB300 &gt; TST</t>
  </si>
  <si>
    <t>544486</t>
  </si>
  <si>
    <t>TST &gt; AP</t>
  </si>
  <si>
    <t>OT$60</t>
  </si>
  <si>
    <t>公司</t>
  </si>
  <si>
    <t>Late change</t>
  </si>
  <si>
    <t>Late change 收全費</t>
  </si>
  <si>
    <t>544562</t>
  </si>
  <si>
    <t>Patrick WH9918 9318 2082</t>
  </si>
  <si>
    <t>544424</t>
  </si>
  <si>
    <t>Cheuk RN377 9669 5358</t>
  </si>
  <si>
    <t>Ansel FN655 9808 7896</t>
  </si>
  <si>
    <t>544561</t>
  </si>
  <si>
    <t>MB294 &gt; TST</t>
  </si>
  <si>
    <t>544488</t>
  </si>
  <si>
    <t>Andy WH9918 6882 2808</t>
  </si>
  <si>
    <t>544564</t>
  </si>
  <si>
    <t>544599</t>
  </si>
  <si>
    <t>Conrad on hire</t>
  </si>
  <si>
    <t>Min 4 hour on hire</t>
  </si>
  <si>
    <t>Conrad-landmark/ Conrad</t>
  </si>
  <si>
    <t>544513</t>
  </si>
  <si>
    <t>QF127 &gt; Grand Hyatt</t>
  </si>
  <si>
    <t>西隧$40 ， P $35</t>
  </si>
  <si>
    <t>544909</t>
  </si>
  <si>
    <t>No show</t>
  </si>
  <si>
    <t>542985</t>
  </si>
  <si>
    <t>CX875 &gt; TST</t>
  </si>
  <si>
    <t>P$35,ot$60</t>
  </si>
  <si>
    <t>545040</t>
  </si>
  <si>
    <t>Cheuk WH9918 96695358</t>
  </si>
  <si>
    <t>Patrick TG1211 9318 2082</t>
  </si>
  <si>
    <t>544864</t>
  </si>
  <si>
    <t>545187</t>
  </si>
  <si>
    <t>TST &gt; AP 急</t>
  </si>
  <si>
    <t>Kan LT1013 6696 7923</t>
  </si>
  <si>
    <t>545080</t>
  </si>
  <si>
    <t>SQ882 &gt; 西營盤</t>
  </si>
  <si>
    <t>西隧$40 , p$35</t>
  </si>
  <si>
    <t>545081</t>
  </si>
  <si>
    <t>AY99 &gt; 西營盤</t>
  </si>
  <si>
    <t>545026</t>
  </si>
  <si>
    <t>PP6  on hire</t>
  </si>
  <si>
    <t>PP6-club Lusitania- Conrad</t>
  </si>
  <si>
    <t>545265</t>
  </si>
  <si>
    <t>544834</t>
  </si>
  <si>
    <t>MB376 &gt; TST</t>
  </si>
  <si>
    <t>545031</t>
  </si>
  <si>
    <t>544835</t>
  </si>
  <si>
    <t>Abble RN377 9551 4488</t>
  </si>
  <si>
    <t>540243</t>
  </si>
  <si>
    <t>港香 &gt; AP</t>
  </si>
  <si>
    <t>544833</t>
  </si>
  <si>
    <t>544521</t>
  </si>
  <si>
    <t>銅鑼灣 &gt; AP</t>
  </si>
  <si>
    <t>544314</t>
  </si>
  <si>
    <t>10:30</t>
  </si>
  <si>
    <t>港麗 &gt; AP</t>
  </si>
  <si>
    <t>544950</t>
  </si>
  <si>
    <t>TST &gt;AP</t>
  </si>
  <si>
    <t>544951</t>
  </si>
  <si>
    <t>MB6564 &gt; TST</t>
  </si>
  <si>
    <t>544952</t>
  </si>
  <si>
    <t>1:35</t>
  </si>
  <si>
    <t>Soo FN655 6097 7620</t>
  </si>
  <si>
    <t>542986</t>
  </si>
  <si>
    <t>545237</t>
  </si>
  <si>
    <t>Fung WH9918 9803 6203</t>
  </si>
  <si>
    <t>545239</t>
  </si>
  <si>
    <t>Ot$60</t>
  </si>
  <si>
    <t>545240</t>
  </si>
  <si>
    <t>545458</t>
  </si>
  <si>
    <t>545224</t>
  </si>
  <si>
    <t>Joanne WH9918 6526 8463</t>
  </si>
  <si>
    <t>545544</t>
  </si>
  <si>
    <t>545540</t>
  </si>
  <si>
    <t>3v401a &gt; Cordis</t>
  </si>
  <si>
    <t>545371</t>
  </si>
  <si>
    <t>545372</t>
  </si>
  <si>
    <t>MB504 &gt; TST</t>
  </si>
  <si>
    <t>Kimbo ME3333 6676 7265</t>
  </si>
  <si>
    <t>545373</t>
  </si>
  <si>
    <t>545616</t>
  </si>
  <si>
    <t>Kai Tak on hire</t>
  </si>
  <si>
    <t>隧道$60</t>
  </si>
  <si>
    <t>啟德-尖沙咀-啟德</t>
  </si>
  <si>
    <t>545628</t>
  </si>
  <si>
    <t>Ap &gt; TST</t>
  </si>
  <si>
    <t xml:space="preserve">0.5 hour wait$90, p$35 </t>
  </si>
  <si>
    <t>545285</t>
  </si>
  <si>
    <t>香港萬怡酒店 onhire</t>
  </si>
  <si>
    <t>Frankie FB655 6676 8669</t>
  </si>
  <si>
    <t>9 hour on hire, 隧道$180</t>
  </si>
  <si>
    <t>酒店-麗斯卡爾頓-萬麗海景-陸海通大廈-港島香格里拉-西環萬宜-麗斯卡爾頓-西環萬宜-IFC一-置地-太古廣場-西環萬宜-太古廣場-萬麗海景</t>
  </si>
  <si>
    <t>545535</t>
  </si>
  <si>
    <t>MB509 &gt; TST</t>
  </si>
  <si>
    <t>OK $60 ， P $35</t>
  </si>
  <si>
    <t>545536</t>
  </si>
  <si>
    <t>545259</t>
  </si>
  <si>
    <t>西營盤 on hire</t>
  </si>
  <si>
    <t>隧道$90 ，機場$200</t>
  </si>
  <si>
    <t>西營盤-萬麗海景-金-中環-麗斯卡-金-機場</t>
  </si>
  <si>
    <t>531358</t>
  </si>
  <si>
    <t xml:space="preserve">BA0031 &gt; TST </t>
  </si>
  <si>
    <t>545590</t>
  </si>
  <si>
    <t>Ben TG1211 52286200</t>
  </si>
  <si>
    <t>Leo WH9918 55881349</t>
  </si>
  <si>
    <t>SV964 &gt; TST</t>
  </si>
  <si>
    <t>P$35, ot$60</t>
  </si>
  <si>
    <t>545654</t>
  </si>
  <si>
    <t>Patrick CT8022 93182082</t>
  </si>
  <si>
    <t>545653</t>
  </si>
  <si>
    <t>Ricky ZJ6071 51089715</t>
  </si>
  <si>
    <t>Chungng TG1211 5541 3309</t>
  </si>
  <si>
    <t>545652</t>
  </si>
  <si>
    <t>545938</t>
  </si>
  <si>
    <t>Cordis &gt; Ap</t>
  </si>
  <si>
    <t>545895</t>
  </si>
  <si>
    <t>QY538 &gt; Cordis</t>
  </si>
  <si>
    <t>544122</t>
  </si>
  <si>
    <t>灣仔 &gt; HKBAC</t>
  </si>
  <si>
    <t>Frankie FN655 6676 8669</t>
  </si>
  <si>
    <t>MO on hire</t>
  </si>
  <si>
    <t>AP$200, 隧道$76</t>
  </si>
  <si>
    <t>544515</t>
  </si>
  <si>
    <t>Grand Hyatt &gt; AP</t>
  </si>
  <si>
    <t>545005</t>
  </si>
  <si>
    <t>CX750 &gt; Langham</t>
  </si>
  <si>
    <t>543419</t>
  </si>
  <si>
    <t>CA115 &gt; 九龍塘</t>
  </si>
  <si>
    <t>546121</t>
  </si>
  <si>
    <t>Skycity &gt; AP</t>
  </si>
  <si>
    <t>545720</t>
  </si>
  <si>
    <t>546095</t>
  </si>
  <si>
    <t>Ot$60, P$35</t>
  </si>
  <si>
    <t>545860</t>
  </si>
  <si>
    <t>Ot$60, wait 0.5 hour$90</t>
  </si>
  <si>
    <t>545863</t>
  </si>
  <si>
    <t>Cheuk KC6089 9669 5358</t>
  </si>
  <si>
    <t>CX252 &gt; 千禧新世紀</t>
  </si>
  <si>
    <t>Joanne TG1211 6526 8463</t>
  </si>
  <si>
    <t>545864</t>
  </si>
  <si>
    <t>8:00</t>
  </si>
  <si>
    <t>Frina WH9918 92945763</t>
  </si>
  <si>
    <t>Wait 0.5 hour$90</t>
  </si>
  <si>
    <t>544614</t>
  </si>
  <si>
    <t>14:50</t>
  </si>
  <si>
    <t>BA31 &gt; 千禧新世紀</t>
  </si>
  <si>
    <t>P$32</t>
  </si>
  <si>
    <t>544403</t>
  </si>
  <si>
    <t>Hilson TG1211 62179777</t>
  </si>
  <si>
    <t>王師傅 WW8421 6641 3258</t>
  </si>
  <si>
    <t>Ben WH9918 5228 6200</t>
  </si>
  <si>
    <t>545867</t>
  </si>
  <si>
    <t>天際萬豪 onhire</t>
  </si>
  <si>
    <t>Abble RN377 95514488</t>
  </si>
  <si>
    <t>Ap$400, 隧道$120</t>
  </si>
  <si>
    <t>天際萬豪-中環中心-金鐘-IFC-山頂-機場</t>
  </si>
  <si>
    <t>531361</t>
  </si>
  <si>
    <t>LH796 &gt; 千禧新世紀</t>
  </si>
  <si>
    <t>Frina PS3488 92945763</t>
  </si>
  <si>
    <t>545007</t>
  </si>
  <si>
    <t>Langham on hire</t>
  </si>
  <si>
    <t>10 hour on hire</t>
  </si>
  <si>
    <t>朗廷-廟-朗廷-西貢-朗廷</t>
  </si>
  <si>
    <t>546112</t>
  </si>
  <si>
    <t>4:00</t>
  </si>
  <si>
    <t>546114</t>
  </si>
  <si>
    <t>MB479 &gt; TST</t>
  </si>
  <si>
    <t>OT$60, P$35</t>
  </si>
  <si>
    <t>546113</t>
  </si>
  <si>
    <t>5:30</t>
  </si>
  <si>
    <t>Patrick UV3632 93182082</t>
  </si>
  <si>
    <t>546096</t>
  </si>
  <si>
    <t>8:45</t>
  </si>
  <si>
    <t>Addy ME771 5722 6551</t>
  </si>
  <si>
    <t>545946</t>
  </si>
  <si>
    <t>9:00</t>
  </si>
  <si>
    <t>Qy538 &gt; Cordis</t>
  </si>
  <si>
    <t>546385</t>
  </si>
  <si>
    <t>12:10</t>
  </si>
  <si>
    <t>公司收0.5 waiting$90</t>
  </si>
  <si>
    <t>546276</t>
  </si>
  <si>
    <t>13:00</t>
  </si>
  <si>
    <t>546274</t>
  </si>
  <si>
    <t>13:05</t>
  </si>
  <si>
    <t>546177</t>
  </si>
  <si>
    <t>546242</t>
  </si>
  <si>
    <t>546178</t>
  </si>
  <si>
    <t xml:space="preserve">Ivan FN655 9261 2485 </t>
  </si>
  <si>
    <t>546179</t>
  </si>
  <si>
    <t>Mb376 &gt; TST</t>
  </si>
  <si>
    <t>OT $60 ， P $35</t>
  </si>
  <si>
    <t>546243</t>
  </si>
  <si>
    <t>Mb503 &gt; TST</t>
  </si>
  <si>
    <t>Cheuk WH9918 9669 5358</t>
  </si>
  <si>
    <t>546244</t>
  </si>
  <si>
    <t>531362</t>
  </si>
  <si>
    <t>千禧新世紀 &gt; 啟德</t>
  </si>
  <si>
    <t>Kan Ww8421 6696 7923</t>
  </si>
  <si>
    <t>Frina zJ6071 9294 5763</t>
  </si>
  <si>
    <t>545679</t>
  </si>
  <si>
    <t>AK138 &gt; 灣仔</t>
  </si>
  <si>
    <t>P$35 ， b b seat $160, 西隧$40</t>
  </si>
  <si>
    <t>546355</t>
  </si>
  <si>
    <t>546357</t>
  </si>
  <si>
    <t>Addy WH9918 5722 6551</t>
  </si>
  <si>
    <t>546356</t>
  </si>
  <si>
    <t>MB5454 &gt; TST</t>
  </si>
  <si>
    <t>Man ZJ6071 6089 6960</t>
  </si>
  <si>
    <t>546427</t>
  </si>
  <si>
    <t>546429</t>
  </si>
  <si>
    <t>546428</t>
  </si>
  <si>
    <t>MB779 &gt; TST</t>
  </si>
  <si>
    <t>P$35, OT $60</t>
  </si>
  <si>
    <t>Ricky ZK6071 51089715</t>
  </si>
  <si>
    <t>545933</t>
  </si>
  <si>
    <t>545945</t>
  </si>
  <si>
    <t>545947</t>
  </si>
  <si>
    <t>Bob NH4116 95592345</t>
  </si>
  <si>
    <t>Fung WH9918 98036203</t>
  </si>
  <si>
    <t>546620</t>
  </si>
  <si>
    <t>546538</t>
  </si>
  <si>
    <t>546540</t>
  </si>
  <si>
    <t>MB507 &gt; TST</t>
  </si>
  <si>
    <t>Ot$60/p$35</t>
  </si>
  <si>
    <t>Ivan TG1211 9277 4562</t>
  </si>
  <si>
    <t>546541</t>
  </si>
  <si>
    <t>Patrick WW8421 93182082</t>
  </si>
  <si>
    <t>546623</t>
  </si>
  <si>
    <t>AP &gt; 東涌</t>
  </si>
  <si>
    <t>546544</t>
  </si>
  <si>
    <t>546543</t>
  </si>
  <si>
    <t>Eva TZ9800 97062468</t>
  </si>
  <si>
    <t>OT$60, P$35, BB seat $80</t>
  </si>
  <si>
    <t>Stanley LJ9800 98286100</t>
  </si>
  <si>
    <t>546120</t>
  </si>
  <si>
    <t>SQ882 &gt; TST</t>
  </si>
  <si>
    <t>546659</t>
  </si>
  <si>
    <t>So WH9918 60139929</t>
  </si>
  <si>
    <t>546660</t>
  </si>
  <si>
    <t>546661</t>
  </si>
  <si>
    <t>546871</t>
  </si>
  <si>
    <t>546202</t>
  </si>
  <si>
    <t xml:space="preserve">AP &gt;旺角帝京 </t>
  </si>
  <si>
    <t>Kelvin YE8506 9193 9799</t>
  </si>
  <si>
    <t>546746</t>
  </si>
  <si>
    <t>546542</t>
  </si>
  <si>
    <t>546753</t>
  </si>
  <si>
    <t>CX698 &gt; TST</t>
  </si>
  <si>
    <t>Ricky ZJ978 51089715</t>
  </si>
  <si>
    <t>546747</t>
  </si>
  <si>
    <t>Kan WH9918 66967923</t>
  </si>
  <si>
    <t>546868</t>
  </si>
  <si>
    <t>546381</t>
  </si>
  <si>
    <t>隧道$40</t>
  </si>
  <si>
    <t>546539</t>
  </si>
  <si>
    <t>CX784 &gt; TST</t>
  </si>
  <si>
    <t>公司收$400</t>
  </si>
  <si>
    <t>Time</t>
  </si>
  <si>
    <t>546865</t>
  </si>
  <si>
    <t>Abble RN377 9551 4488 (卓）</t>
  </si>
  <si>
    <t>546867</t>
  </si>
  <si>
    <t>Fung WE8421 900 036203</t>
  </si>
  <si>
    <t>Patrick TG1211 93182082</t>
  </si>
  <si>
    <t>546866</t>
  </si>
  <si>
    <t>MB294 &gt; AP</t>
  </si>
  <si>
    <t xml:space="preserve">Abble RN377 9551 4488 </t>
  </si>
  <si>
    <t>Ot$60, p $35</t>
  </si>
  <si>
    <t>547119</t>
  </si>
  <si>
    <t>Joanne ZU3811 6526 8463</t>
  </si>
  <si>
    <t>Ho ZJ6071 5575 5138</t>
  </si>
  <si>
    <t>547078</t>
  </si>
  <si>
    <t>546758</t>
  </si>
  <si>
    <t>Fung WW8421 900 036203</t>
  </si>
  <si>
    <t>547077</t>
  </si>
  <si>
    <t>547003</t>
  </si>
  <si>
    <t>Cx349 &gt; W hotel</t>
  </si>
  <si>
    <t>Bb seat 80</t>
  </si>
  <si>
    <t>貝沙灣 &gt; Ap</t>
  </si>
  <si>
    <t>西隧$40 ，南區$50</t>
  </si>
  <si>
    <t>547045</t>
  </si>
  <si>
    <t>Cheuk Tg1211 9669 5358</t>
  </si>
  <si>
    <t>Man ww8421 60896960</t>
  </si>
  <si>
    <t>547 044</t>
  </si>
  <si>
    <t>547228</t>
  </si>
  <si>
    <t>Jacky CT8022 986953</t>
  </si>
  <si>
    <t>6 hour on hire</t>
  </si>
  <si>
    <t>Conrad-nexus-Conrad/alchemy-conrad</t>
  </si>
  <si>
    <t>547316</t>
  </si>
  <si>
    <t>Rosewood &gt; AP</t>
  </si>
  <si>
    <t>SV3020 &gt; TST</t>
  </si>
  <si>
    <t>547187</t>
  </si>
  <si>
    <t>547188</t>
  </si>
  <si>
    <t>OT$60,p$35</t>
  </si>
  <si>
    <t>547189</t>
  </si>
  <si>
    <t xml:space="preserve">Patrick WW8421 93182082 </t>
  </si>
  <si>
    <t>547493</t>
  </si>
  <si>
    <t>海景嘉福&gt; Ap</t>
  </si>
  <si>
    <t>Eva EJ991 9706 2468</t>
  </si>
  <si>
    <t>547526</t>
  </si>
  <si>
    <t>SV3022 &gt; 海景嘉福</t>
  </si>
  <si>
    <t>P$35, oT$60</t>
  </si>
  <si>
    <t>547079</t>
  </si>
  <si>
    <t>Joanne awzh9918 6526 8463</t>
  </si>
  <si>
    <t>547531</t>
  </si>
  <si>
    <t>QY538 &gt;  Cordis</t>
  </si>
  <si>
    <t>Kan TG1211 66967923</t>
  </si>
  <si>
    <t>547529</t>
  </si>
  <si>
    <t>Jay ZU1183 6406 3038</t>
  </si>
  <si>
    <t>547043</t>
  </si>
  <si>
    <t>547447</t>
  </si>
  <si>
    <t>9.5 hour on hire, 隧道$60 ，機場$200</t>
  </si>
  <si>
    <t>港麗-Ivan-港麗-中環碼頭-ap</t>
  </si>
  <si>
    <t>547525</t>
  </si>
  <si>
    <t>CX367 &gt; Cordis</t>
  </si>
  <si>
    <t>Ho ZT3830 5575 5138</t>
  </si>
  <si>
    <t>547618</t>
  </si>
  <si>
    <t>荃灣&gt; AP</t>
  </si>
  <si>
    <t>547352</t>
  </si>
  <si>
    <t>Leo WH9918 5588 1349</t>
  </si>
  <si>
    <t>Bob Nh4116 9559 2345</t>
  </si>
  <si>
    <t>547353</t>
  </si>
  <si>
    <t>547510</t>
  </si>
  <si>
    <t>9;00</t>
  </si>
  <si>
    <t>547508</t>
  </si>
  <si>
    <t>547509</t>
  </si>
  <si>
    <t>MB179&gt; TST</t>
  </si>
  <si>
    <t>547631</t>
  </si>
  <si>
    <t>Fung NH4116 98036203</t>
  </si>
  <si>
    <t>547354</t>
  </si>
  <si>
    <t>547630</t>
  </si>
  <si>
    <t>547858</t>
  </si>
  <si>
    <t>547856</t>
  </si>
  <si>
    <t>Ot$60,p$35</t>
  </si>
  <si>
    <t>547688</t>
  </si>
  <si>
    <t>CX748 &gt; 8 degrees</t>
  </si>
  <si>
    <t>Joanne WH9918 65268463</t>
  </si>
  <si>
    <t>547861</t>
  </si>
  <si>
    <t>Soo FN655 60977620</t>
  </si>
  <si>
    <t>547860</t>
  </si>
  <si>
    <t>547273</t>
  </si>
  <si>
    <t>on hire</t>
  </si>
  <si>
    <t>Mike XD699 61822122</t>
  </si>
  <si>
    <t>8 hour on hire, 隧道$50</t>
  </si>
  <si>
    <t>547795</t>
  </si>
  <si>
    <t>547796</t>
  </si>
  <si>
    <t>MB504 &gt;TST</t>
  </si>
  <si>
    <t>OT:$60, P:$35</t>
  </si>
  <si>
    <t>Patrick WE8421 93182082</t>
  </si>
  <si>
    <t>547793</t>
  </si>
  <si>
    <t>Ivan FN655 92612485</t>
  </si>
  <si>
    <t>547794</t>
  </si>
  <si>
    <t>Plate WW8421 93182082</t>
  </si>
  <si>
    <t>547797</t>
  </si>
  <si>
    <t>2.5 wait $OT$60</t>
  </si>
  <si>
    <t>547857</t>
  </si>
  <si>
    <t>CX811 &gt; TST</t>
  </si>
  <si>
    <t>548010</t>
  </si>
  <si>
    <t>UO251 &gt; TST</t>
  </si>
  <si>
    <t>Ansel WH9918 98087896</t>
  </si>
  <si>
    <t>P$35, bb seat $80, (公司收半小時等候$90）</t>
  </si>
  <si>
    <t>Yin</t>
  </si>
  <si>
    <t>P$35 （公司收半小時等候$90）</t>
  </si>
  <si>
    <t>548025</t>
  </si>
  <si>
    <t>BAC &gt; Rosewood</t>
  </si>
  <si>
    <t>548011</t>
  </si>
  <si>
    <t>548008</t>
  </si>
  <si>
    <t>Wason NH4116 92067813</t>
  </si>
  <si>
    <t>544384</t>
  </si>
  <si>
    <t>TG638 &gt; 銅鑼灣 兩站</t>
  </si>
  <si>
    <t>Frankie FN655 66768669</t>
  </si>
  <si>
    <t>P$35, 加兩站$200</t>
  </si>
  <si>
    <t>547710</t>
  </si>
  <si>
    <t>FS on hire</t>
  </si>
  <si>
    <t>10 hour on hire, 隧道40</t>
  </si>
  <si>
    <t>547689</t>
  </si>
  <si>
    <t>土瓜灣 &gt; AP</t>
  </si>
  <si>
    <t>Keith CK9898 98880261</t>
  </si>
  <si>
    <t>548134</t>
  </si>
  <si>
    <t xml:space="preserve">Frankie </t>
  </si>
  <si>
    <t>Fs-東涌-鯉魚門-旺角-深水埗-fs-荷李活道</t>
  </si>
  <si>
    <t>538799</t>
  </si>
  <si>
    <t>Eva WH9918 97062468</t>
  </si>
  <si>
    <t>538800</t>
  </si>
  <si>
    <t>賢 GE240 84039198</t>
  </si>
  <si>
    <t>Soo WC4555 60977620</t>
  </si>
  <si>
    <t>3V401 &gt; Codis</t>
  </si>
  <si>
    <t xml:space="preserve">Stanley CT8022 9828 6100 </t>
  </si>
  <si>
    <t>538445</t>
  </si>
  <si>
    <t>539247</t>
  </si>
  <si>
    <t>539248</t>
  </si>
  <si>
    <t>MB490 &gt; TST</t>
  </si>
  <si>
    <t>OT $60,P$35</t>
  </si>
  <si>
    <t>Ivan LB990 92612485</t>
  </si>
  <si>
    <t>539249</t>
  </si>
  <si>
    <t>539427</t>
  </si>
  <si>
    <t>539423</t>
  </si>
  <si>
    <t>539421</t>
  </si>
  <si>
    <t>Frina Chan PS3488 9294 5763</t>
  </si>
  <si>
    <t>539424</t>
  </si>
  <si>
    <t>Date</t>
  </si>
  <si>
    <t>Time</t>
    <phoneticPr fontId="30" type="noConversion"/>
  </si>
  <si>
    <t>Trip</t>
    <phoneticPr fontId="30" type="noConversion"/>
  </si>
  <si>
    <t>Driver</t>
    <phoneticPr fontId="30" type="noConversion"/>
  </si>
  <si>
    <t>Status</t>
    <phoneticPr fontId="30" type="noConversion"/>
  </si>
  <si>
    <t>Pick</t>
    <phoneticPr fontId="30" type="noConversion"/>
  </si>
  <si>
    <t>Drop</t>
    <phoneticPr fontId="30" type="noConversion"/>
  </si>
  <si>
    <t>Decp</t>
    <phoneticPr fontId="30" type="noConversion"/>
  </si>
  <si>
    <t>Ptime</t>
    <phoneticPr fontId="30" type="noConversion"/>
  </si>
  <si>
    <t>Column D value</t>
  </si>
  <si>
    <t>Included?</t>
  </si>
  <si>
    <t>Reason</t>
  </si>
  <si>
    <t>`Abble RN377`</t>
  </si>
  <si>
    <t>✅</t>
  </si>
  <si>
    <t>Contains Abble</t>
  </si>
  <si>
    <t>`Eva TZ9800`</t>
  </si>
  <si>
    <t>❌</t>
  </si>
  <si>
    <t>Eva excluded</t>
  </si>
  <si>
    <t>`Keith CK9898`</t>
  </si>
  <si>
    <t>Keith excluded</t>
  </si>
  <si>
    <t>`Ricky ZJ6071`</t>
  </si>
  <si>
    <t>Ricky excluded</t>
  </si>
  <si>
    <t>`Stanley LJ9800`</t>
  </si>
  <si>
    <t>Not Eva/Keith/Ricky</t>
  </si>
  <si>
    <t>`Abble &amp; Eva`</t>
  </si>
  <si>
    <t>Abble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</si>
</sst>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4" formatCode="&quot;US$&quot;#,##0_);[Red]\(&quot;US$&quot;#,##0\)"/>
    <numFmt numFmtId="176" formatCode="&quot;HK$&quot;#,##0.00_);[Red]\(&quot;HK$&quot;#,##0.00\)"/>
    <numFmt numFmtId="177" formatCode="&quot;$&quot;#,##0_);[Red]\(&quot;$&quot;#,##0\)"/>
    <numFmt numFmtId="178" formatCode="0.0"/>
    <numFmt numFmtId="179" formatCode="&quot;$&quot;#,##0;[Red]&quot;$&quot;#,##0"/>
    <numFmt numFmtId="180" formatCode="&quot;$&quot;#,##0"/>
    <numFmt numFmtId="181" formatCode="h:mm;@"/>
  </numFmts>
  <fonts count="33">
    <font>
      <sz val="12"/>
      <color theme="1"/>
      <name val="新細明體"/>
      <family val="2"/>
      <scheme val="minor"/>
    </font>
    <font>
      <b/>
      <u/>
      <sz val="12"/>
      <name val="宋体"/>
    </font>
    <font>
      <b/>
      <sz val="12"/>
      <name val="宋体"/>
    </font>
    <font>
      <sz val="11"/>
      <color indexed="8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sz val="11"/>
      <name val="宋体"/>
    </font>
    <font>
      <sz val="11"/>
      <color theme="1"/>
      <name val="Arial"/>
      <family val="2"/>
    </font>
    <font>
      <sz val="12"/>
      <name val="Arial"/>
      <family val="2"/>
    </font>
    <font>
      <b/>
      <sz val="11"/>
      <name val="宋体"/>
    </font>
    <font>
      <sz val="9"/>
      <name val="新細明體"/>
      <family val="3"/>
      <charset val="136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新細明體"/>
      <family val="1"/>
      <charset val="136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1"/>
      <color theme="1"/>
      <name val="新細明體"/>
      <family val="2"/>
      <scheme val="minor"/>
    </font>
    <font>
      <sz val="11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indexed="8"/>
      <name val="Arial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rial"/>
      <charset val="1"/>
    </font>
    <font>
      <sz val="11"/>
      <color rgb="FF000000"/>
      <name val="Microsoft JhengHei"/>
      <family val="2"/>
      <charset val="136"/>
    </font>
    <font>
      <sz val="12"/>
      <color theme="1"/>
      <name val="新細明體"/>
      <family val="2"/>
      <scheme val="minor"/>
    </font>
    <font>
      <sz val="12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50505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22">
    <xf numFmtId="0" fontId="0" fillId="0" borderId="0" xfId="0"/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3" xfId="0" applyNumberFormat="1" applyFont="1" applyBorder="1" applyAlignment="1">
      <alignment horizontal="center" vertical="center"/>
    </xf>
    <xf numFmtId="0" fontId="0" fillId="2" borderId="0" xfId="0" applyFill="1"/>
    <xf numFmtId="176" fontId="5" fillId="3" borderId="1" xfId="0" applyNumberFormat="1" applyFont="1" applyFill="1" applyBorder="1" applyAlignment="1">
      <alignment horizontal="center" vertical="center"/>
    </xf>
    <xf numFmtId="2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20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178" fontId="9" fillId="0" borderId="0" xfId="0" applyNumberFormat="1" applyFont="1"/>
    <xf numFmtId="179" fontId="9" fillId="0" borderId="0" xfId="0" applyNumberFormat="1" applyFont="1"/>
    <xf numFmtId="180" fontId="9" fillId="0" borderId="0" xfId="0" applyNumberFormat="1" applyFont="1"/>
    <xf numFmtId="179" fontId="10" fillId="0" borderId="4" xfId="0" applyNumberFormat="1" applyFont="1" applyBorder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79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180" fontId="0" fillId="0" borderId="0" xfId="0" applyNumberFormat="1"/>
    <xf numFmtId="181" fontId="9" fillId="0" borderId="0" xfId="0" applyNumberFormat="1" applyFont="1"/>
    <xf numFmtId="181" fontId="0" fillId="0" borderId="0" xfId="0" applyNumberFormat="1"/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79" fontId="4" fillId="3" borderId="3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20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79" fontId="4" fillId="2" borderId="3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5" fillId="2" borderId="6" xfId="0" applyNumberFormat="1" applyFont="1" applyFill="1" applyBorder="1" applyAlignment="1">
      <alignment horizontal="center" vertical="center"/>
    </xf>
    <xf numFmtId="17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20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78" fontId="5" fillId="2" borderId="0" xfId="0" applyNumberFormat="1" applyFont="1" applyFill="1" applyAlignment="1">
      <alignment horizontal="center" vertical="center"/>
    </xf>
    <xf numFmtId="179" fontId="5" fillId="2" borderId="0" xfId="0" applyNumberFormat="1" applyFont="1" applyFill="1" applyAlignment="1">
      <alignment horizontal="center" vertical="center"/>
    </xf>
    <xf numFmtId="180" fontId="5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wrapText="1"/>
    </xf>
    <xf numFmtId="20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20" fontId="8" fillId="3" borderId="1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20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20" fontId="4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179" fontId="4" fillId="2" borderId="4" xfId="0" applyNumberFormat="1" applyFont="1" applyFill="1" applyBorder="1" applyAlignment="1">
      <alignment horizontal="center" vertical="center"/>
    </xf>
    <xf numFmtId="180" fontId="4" fillId="2" borderId="0" xfId="0" applyNumberFormat="1" applyFont="1" applyFill="1" applyAlignment="1">
      <alignment horizontal="center" vertical="center"/>
    </xf>
    <xf numFmtId="0" fontId="0" fillId="3" borderId="0" xfId="0" applyFill="1"/>
    <xf numFmtId="20" fontId="3" fillId="3" borderId="6" xfId="0" applyNumberFormat="1" applyFont="1" applyFill="1" applyBorder="1" applyAlignment="1">
      <alignment horizontal="center" vertical="center"/>
    </xf>
    <xf numFmtId="178" fontId="4" fillId="3" borderId="6" xfId="0" applyNumberFormat="1" applyFont="1" applyFill="1" applyBorder="1" applyAlignment="1">
      <alignment horizontal="center" vertical="center"/>
    </xf>
    <xf numFmtId="179" fontId="4" fillId="3" borderId="6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20" fontId="4" fillId="3" borderId="6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178" fontId="16" fillId="3" borderId="1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20" fontId="5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20" fontId="4" fillId="3" borderId="6" xfId="0" applyNumberFormat="1" applyFont="1" applyFill="1" applyBorder="1" applyAlignment="1">
      <alignment horizontal="center" vertical="center"/>
    </xf>
    <xf numFmtId="179" fontId="3" fillId="3" borderId="3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20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8" fontId="5" fillId="3" borderId="6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179" fontId="5" fillId="3" borderId="3" xfId="0" applyNumberFormat="1" applyFont="1" applyFill="1" applyBorder="1" applyAlignment="1">
      <alignment horizontal="center" vertical="center"/>
    </xf>
    <xf numFmtId="179" fontId="5" fillId="3" borderId="8" xfId="0" applyNumberFormat="1" applyFont="1" applyFill="1" applyBorder="1" applyAlignment="1">
      <alignment horizontal="center" vertical="center"/>
    </xf>
    <xf numFmtId="20" fontId="5" fillId="3" borderId="8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20" fontId="5" fillId="3" borderId="8" xfId="0" applyNumberFormat="1" applyFont="1" applyFill="1" applyBorder="1" applyAlignment="1">
      <alignment horizontal="center" vertical="center"/>
    </xf>
    <xf numFmtId="178" fontId="5" fillId="3" borderId="8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4" fillId="2" borderId="1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21" fillId="3" borderId="0" xfId="0" applyFont="1" applyFill="1"/>
    <xf numFmtId="0" fontId="21" fillId="2" borderId="0" xfId="0" applyFont="1" applyFill="1"/>
    <xf numFmtId="0" fontId="8" fillId="2" borderId="0" xfId="0" applyFont="1" applyFill="1" applyAlignment="1">
      <alignment horizontal="center" vertical="center"/>
    </xf>
    <xf numFmtId="0" fontId="21" fillId="0" borderId="0" xfId="0" applyFont="1"/>
    <xf numFmtId="20" fontId="8" fillId="3" borderId="5" xfId="0" applyNumberFormat="1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180" fontId="22" fillId="3" borderId="1" xfId="0" applyNumberFormat="1" applyFont="1" applyFill="1" applyBorder="1" applyAlignment="1">
      <alignment horizontal="center" vertical="center"/>
    </xf>
    <xf numFmtId="179" fontId="22" fillId="3" borderId="1" xfId="0" applyNumberFormat="1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49" fontId="23" fillId="3" borderId="1" xfId="0" applyNumberFormat="1" applyFont="1" applyFill="1" applyBorder="1" applyAlignment="1">
      <alignment horizontal="center" vertical="center" wrapText="1"/>
    </xf>
    <xf numFmtId="176" fontId="24" fillId="3" borderId="1" xfId="0" applyNumberFormat="1" applyFont="1" applyFill="1" applyBorder="1" applyAlignment="1">
      <alignment horizontal="center" vertical="center"/>
    </xf>
    <xf numFmtId="178" fontId="22" fillId="3" borderId="1" xfId="0" applyNumberFormat="1" applyFont="1" applyFill="1" applyBorder="1" applyAlignment="1">
      <alignment horizontal="center" vertical="center"/>
    </xf>
    <xf numFmtId="179" fontId="22" fillId="3" borderId="3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 wrapText="1"/>
    </xf>
    <xf numFmtId="20" fontId="23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20" fontId="25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20" fontId="22" fillId="3" borderId="1" xfId="0" applyNumberFormat="1" applyFont="1" applyFill="1" applyBorder="1" applyAlignment="1">
      <alignment horizontal="center" vertical="center" wrapText="1"/>
    </xf>
    <xf numFmtId="177" fontId="22" fillId="3" borderId="1" xfId="0" applyNumberFormat="1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176" fontId="24" fillId="3" borderId="5" xfId="0" applyNumberFormat="1" applyFont="1" applyFill="1" applyBorder="1" applyAlignment="1">
      <alignment horizontal="center" vertical="center"/>
    </xf>
    <xf numFmtId="20" fontId="24" fillId="3" borderId="5" xfId="0" applyNumberFormat="1" applyFont="1" applyFill="1" applyBorder="1" applyAlignment="1">
      <alignment horizontal="center" vertical="center"/>
    </xf>
    <xf numFmtId="178" fontId="24" fillId="3" borderId="5" xfId="0" applyNumberFormat="1" applyFont="1" applyFill="1" applyBorder="1" applyAlignment="1">
      <alignment horizontal="center" vertical="center"/>
    </xf>
    <xf numFmtId="20" fontId="22" fillId="3" borderId="1" xfId="0" applyNumberFormat="1" applyFont="1" applyFill="1" applyBorder="1" applyAlignment="1">
      <alignment horizontal="center" vertical="center"/>
    </xf>
    <xf numFmtId="176" fontId="24" fillId="3" borderId="6" xfId="0" applyNumberFormat="1" applyFont="1" applyFill="1" applyBorder="1" applyAlignment="1">
      <alignment horizontal="center" vertical="center"/>
    </xf>
    <xf numFmtId="178" fontId="23" fillId="3" borderId="1" xfId="0" applyNumberFormat="1" applyFont="1" applyFill="1" applyBorder="1" applyAlignment="1">
      <alignment horizontal="center" vertical="center"/>
    </xf>
    <xf numFmtId="179" fontId="23" fillId="3" borderId="1" xfId="0" applyNumberFormat="1" applyFont="1" applyFill="1" applyBorder="1" applyAlignment="1">
      <alignment horizontal="center" vertical="center"/>
    </xf>
    <xf numFmtId="179" fontId="23" fillId="3" borderId="3" xfId="0" applyNumberFormat="1" applyFont="1" applyFill="1" applyBorder="1" applyAlignment="1">
      <alignment horizontal="center" vertical="center"/>
    </xf>
    <xf numFmtId="178" fontId="22" fillId="3" borderId="6" xfId="0" applyNumberFormat="1" applyFont="1" applyFill="1" applyBorder="1" applyAlignment="1">
      <alignment horizontal="center" vertical="center"/>
    </xf>
    <xf numFmtId="178" fontId="20" fillId="3" borderId="1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/>
    </xf>
    <xf numFmtId="179" fontId="5" fillId="3" borderId="5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76" fontId="5" fillId="3" borderId="10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20" fontId="5" fillId="3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20" fontId="5" fillId="3" borderId="5" xfId="0" applyNumberFormat="1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179" fontId="8" fillId="3" borderId="3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20" fontId="4" fillId="3" borderId="5" xfId="0" applyNumberFormat="1" applyFont="1" applyFill="1" applyBorder="1" applyAlignment="1">
      <alignment horizontal="center" vertical="center"/>
    </xf>
    <xf numFmtId="20" fontId="22" fillId="3" borderId="6" xfId="0" applyNumberFormat="1" applyFont="1" applyFill="1" applyBorder="1" applyAlignment="1">
      <alignment horizontal="center" vertical="center"/>
    </xf>
    <xf numFmtId="176" fontId="25" fillId="3" borderId="1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4" borderId="1" xfId="0" applyFont="1" applyFill="1" applyBorder="1"/>
    <xf numFmtId="0" fontId="2" fillId="4" borderId="2" xfId="0" applyFont="1" applyFill="1" applyBorder="1"/>
    <xf numFmtId="0" fontId="26" fillId="4" borderId="2" xfId="0" applyFont="1" applyFill="1" applyBorder="1"/>
    <xf numFmtId="0" fontId="27" fillId="0" borderId="0" xfId="0" applyFont="1"/>
    <xf numFmtId="0" fontId="2" fillId="4" borderId="6" xfId="0" applyFont="1" applyFill="1" applyBorder="1"/>
    <xf numFmtId="0" fontId="27" fillId="4" borderId="7" xfId="0" applyFont="1" applyFill="1" applyBorder="1"/>
    <xf numFmtId="0" fontId="27" fillId="4" borderId="13" xfId="0" applyFont="1" applyFill="1" applyBorder="1"/>
    <xf numFmtId="0" fontId="27" fillId="4" borderId="2" xfId="0" applyFont="1" applyFill="1" applyBorder="1"/>
    <xf numFmtId="0" fontId="6" fillId="4" borderId="6" xfId="0" applyFont="1" applyFill="1" applyBorder="1"/>
    <xf numFmtId="0" fontId="26" fillId="4" borderId="6" xfId="0" applyFont="1" applyFill="1" applyBorder="1"/>
    <xf numFmtId="179" fontId="24" fillId="3" borderId="5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179" fontId="24" fillId="3" borderId="1" xfId="0" applyNumberFormat="1" applyFont="1" applyFill="1" applyBorder="1" applyAlignment="1">
      <alignment horizontal="center" vertical="center"/>
    </xf>
    <xf numFmtId="179" fontId="4" fillId="3" borderId="5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20" fontId="3" fillId="3" borderId="5" xfId="0" applyNumberFormat="1" applyFont="1" applyFill="1" applyBorder="1" applyAlignment="1">
      <alignment horizontal="center" vertical="center"/>
    </xf>
    <xf numFmtId="178" fontId="4" fillId="3" borderId="5" xfId="0" applyNumberFormat="1" applyFont="1" applyFill="1" applyBorder="1" applyAlignment="1">
      <alignment horizontal="center" vertical="center"/>
    </xf>
    <xf numFmtId="49" fontId="8" fillId="3" borderId="10" xfId="0" applyNumberFormat="1" applyFont="1" applyFill="1" applyBorder="1" applyAlignment="1">
      <alignment horizontal="center" vertical="center" wrapText="1"/>
    </xf>
    <xf numFmtId="20" fontId="22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20" fontId="22" fillId="3" borderId="10" xfId="0" applyNumberFormat="1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20" fontId="8" fillId="3" borderId="6" xfId="0" applyNumberFormat="1" applyFont="1" applyFill="1" applyBorder="1" applyAlignment="1">
      <alignment horizontal="center" vertical="center"/>
    </xf>
    <xf numFmtId="179" fontId="4" fillId="3" borderId="9" xfId="0" applyNumberFormat="1" applyFont="1" applyFill="1" applyBorder="1" applyAlignment="1">
      <alignment horizontal="center" vertical="center"/>
    </xf>
    <xf numFmtId="177" fontId="4" fillId="3" borderId="6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20" fontId="5" fillId="3" borderId="1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/>
    <xf numFmtId="49" fontId="5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49" fontId="9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horizontal="right"/>
    </xf>
    <xf numFmtId="180" fontId="9" fillId="3" borderId="0" xfId="0" applyNumberFormat="1" applyFont="1" applyFill="1"/>
    <xf numFmtId="179" fontId="9" fillId="3" borderId="0" xfId="0" applyNumberFormat="1" applyFont="1" applyFill="1"/>
    <xf numFmtId="179" fontId="10" fillId="3" borderId="4" xfId="0" applyNumberFormat="1" applyFont="1" applyFill="1" applyBorder="1" applyAlignment="1">
      <alignment horizontal="center" vertical="center"/>
    </xf>
    <xf numFmtId="179" fontId="7" fillId="3" borderId="0" xfId="0" applyNumberFormat="1" applyFont="1" applyFill="1" applyAlignment="1">
      <alignment horizontal="center" vertical="center"/>
    </xf>
    <xf numFmtId="179" fontId="0" fillId="3" borderId="0" xfId="0" applyNumberFormat="1" applyFill="1"/>
    <xf numFmtId="49" fontId="0" fillId="3" borderId="0" xfId="0" applyNumberFormat="1" applyFill="1"/>
    <xf numFmtId="0" fontId="0" fillId="3" borderId="0" xfId="0" applyFill="1" applyAlignment="1">
      <alignment horizontal="right"/>
    </xf>
    <xf numFmtId="180" fontId="0" fillId="3" borderId="0" xfId="0" applyNumberFormat="1" applyFill="1"/>
    <xf numFmtId="20" fontId="8" fillId="3" borderId="6" xfId="0" applyNumberFormat="1" applyFont="1" applyFill="1" applyBorder="1" applyAlignment="1">
      <alignment horizontal="center" vertical="center" wrapText="1"/>
    </xf>
    <xf numFmtId="20" fontId="3" fillId="3" borderId="8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49" fontId="22" fillId="3" borderId="1" xfId="0" applyNumberFormat="1" applyFont="1" applyFill="1" applyBorder="1" applyAlignment="1">
      <alignment horizontal="center" vertical="center" wrapText="1"/>
    </xf>
    <xf numFmtId="20" fontId="8" fillId="3" borderId="15" xfId="0" applyNumberFormat="1" applyFont="1" applyFill="1" applyBorder="1" applyAlignment="1">
      <alignment horizontal="center" vertical="center" wrapText="1"/>
    </xf>
    <xf numFmtId="176" fontId="24" fillId="3" borderId="7" xfId="0" applyNumberFormat="1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176" fontId="5" fillId="3" borderId="14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49" fontId="23" fillId="3" borderId="3" xfId="0" applyNumberFormat="1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20" fontId="24" fillId="3" borderId="6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20" fontId="8" fillId="3" borderId="5" xfId="0" applyNumberFormat="1" applyFont="1" applyFill="1" applyBorder="1" applyAlignment="1">
      <alignment horizontal="center" vertical="center"/>
    </xf>
    <xf numFmtId="20" fontId="8" fillId="3" borderId="10" xfId="0" applyNumberFormat="1" applyFont="1" applyFill="1" applyBorder="1" applyAlignment="1">
      <alignment horizontal="center" vertical="center" wrapText="1"/>
    </xf>
    <xf numFmtId="176" fontId="3" fillId="3" borderId="5" xfId="0" applyNumberFormat="1" applyFont="1" applyFill="1" applyBorder="1" applyAlignment="1">
      <alignment horizontal="center" vertical="center"/>
    </xf>
    <xf numFmtId="20" fontId="5" fillId="3" borderId="14" xfId="0" applyNumberFormat="1" applyFont="1" applyFill="1" applyBorder="1" applyAlignment="1">
      <alignment horizontal="center" vertical="center"/>
    </xf>
    <xf numFmtId="20" fontId="5" fillId="3" borderId="11" xfId="0" applyNumberFormat="1" applyFont="1" applyFill="1" applyBorder="1" applyAlignment="1">
      <alignment horizontal="center" vertical="center"/>
    </xf>
    <xf numFmtId="180" fontId="4" fillId="3" borderId="6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12" fillId="0" borderId="0" xfId="0" applyNumberFormat="1" applyFont="1"/>
    <xf numFmtId="0" fontId="0" fillId="0" borderId="1" xfId="0" applyBorder="1"/>
    <xf numFmtId="0" fontId="0" fillId="3" borderId="1" xfId="0" applyFill="1" applyBorder="1"/>
    <xf numFmtId="176" fontId="8" fillId="3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20" fontId="25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78" fontId="22" fillId="2" borderId="1" xfId="0" applyNumberFormat="1" applyFont="1" applyFill="1" applyBorder="1" applyAlignment="1">
      <alignment horizontal="center" vertical="center"/>
    </xf>
    <xf numFmtId="180" fontId="22" fillId="2" borderId="1" xfId="0" applyNumberFormat="1" applyFont="1" applyFill="1" applyBorder="1" applyAlignment="1">
      <alignment horizontal="center" vertical="center"/>
    </xf>
    <xf numFmtId="179" fontId="22" fillId="2" borderId="1" xfId="0" applyNumberFormat="1" applyFont="1" applyFill="1" applyBorder="1" applyAlignment="1">
      <alignment horizontal="center" vertical="center"/>
    </xf>
    <xf numFmtId="179" fontId="22" fillId="2" borderId="3" xfId="0" applyNumberFormat="1" applyFont="1" applyFill="1" applyBorder="1" applyAlignment="1">
      <alignment horizontal="center" vertical="center"/>
    </xf>
    <xf numFmtId="49" fontId="22" fillId="3" borderId="6" xfId="0" applyNumberFormat="1" applyFont="1" applyFill="1" applyBorder="1" applyAlignment="1">
      <alignment horizontal="center" vertical="center"/>
    </xf>
    <xf numFmtId="180" fontId="8" fillId="3" borderId="1" xfId="0" applyNumberFormat="1" applyFont="1" applyFill="1" applyBorder="1" applyAlignment="1">
      <alignment horizontal="center" vertical="center"/>
    </xf>
    <xf numFmtId="179" fontId="4" fillId="3" borderId="0" xfId="0" applyNumberFormat="1" applyFont="1" applyFill="1" applyAlignment="1">
      <alignment horizontal="center" vertical="center"/>
    </xf>
    <xf numFmtId="180" fontId="5" fillId="2" borderId="5" xfId="0" applyNumberFormat="1" applyFont="1" applyFill="1" applyBorder="1" applyAlignment="1">
      <alignment horizontal="center" vertical="center"/>
    </xf>
    <xf numFmtId="179" fontId="5" fillId="2" borderId="5" xfId="0" applyNumberFormat="1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80" fontId="4" fillId="2" borderId="17" xfId="0" applyNumberFormat="1" applyFont="1" applyFill="1" applyBorder="1" applyAlignment="1">
      <alignment horizontal="center" vertical="center"/>
    </xf>
    <xf numFmtId="179" fontId="4" fillId="2" borderId="17" xfId="0" applyNumberFormat="1" applyFont="1" applyFill="1" applyBorder="1" applyAlignment="1">
      <alignment horizontal="center" vertical="center"/>
    </xf>
    <xf numFmtId="179" fontId="4" fillId="3" borderId="1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/>
    </xf>
    <xf numFmtId="20" fontId="0" fillId="0" borderId="0" xfId="0" applyNumberFormat="1"/>
    <xf numFmtId="176" fontId="24" fillId="3" borderId="1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 wrapText="1"/>
    </xf>
    <xf numFmtId="176" fontId="5" fillId="3" borderId="8" xfId="0" applyNumberFormat="1" applyFont="1" applyFill="1" applyBorder="1" applyAlignment="1">
      <alignment horizontal="center" vertical="center"/>
    </xf>
    <xf numFmtId="178" fontId="5" fillId="3" borderId="1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49" fontId="24" fillId="3" borderId="1" xfId="0" applyNumberFormat="1" applyFont="1" applyFill="1" applyBorder="1" applyAlignment="1">
      <alignment horizontal="center" vertical="center" wrapText="1"/>
    </xf>
    <xf numFmtId="20" fontId="2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20" fontId="25" fillId="3" borderId="6" xfId="0" applyNumberFormat="1" applyFont="1" applyFill="1" applyBorder="1" applyAlignment="1">
      <alignment horizontal="center" vertical="center"/>
    </xf>
    <xf numFmtId="20" fontId="23" fillId="3" borderId="1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49" fontId="24" fillId="3" borderId="6" xfId="0" applyNumberFormat="1" applyFont="1" applyFill="1" applyBorder="1" applyAlignment="1">
      <alignment horizontal="center" vertical="center"/>
    </xf>
    <xf numFmtId="180" fontId="24" fillId="3" borderId="1" xfId="0" applyNumberFormat="1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/>
    </xf>
    <xf numFmtId="49" fontId="22" fillId="2" borderId="1" xfId="0" applyNumberFormat="1" applyFont="1" applyFill="1" applyBorder="1" applyAlignment="1">
      <alignment horizontal="center" vertical="center"/>
    </xf>
    <xf numFmtId="20" fontId="22" fillId="2" borderId="1" xfId="0" applyNumberFormat="1" applyFont="1" applyFill="1" applyBorder="1" applyAlignment="1">
      <alignment horizontal="center" vertical="center" wrapText="1"/>
    </xf>
    <xf numFmtId="176" fontId="24" fillId="2" borderId="1" xfId="0" applyNumberFormat="1" applyFont="1" applyFill="1" applyBorder="1" applyAlignment="1">
      <alignment horizontal="center" vertical="center"/>
    </xf>
    <xf numFmtId="177" fontId="22" fillId="2" borderId="1" xfId="0" applyNumberFormat="1" applyFont="1" applyFill="1" applyBorder="1" applyAlignment="1">
      <alignment horizontal="center" vertical="center"/>
    </xf>
    <xf numFmtId="49" fontId="23" fillId="3" borderId="6" xfId="0" applyNumberFormat="1" applyFont="1" applyFill="1" applyBorder="1" applyAlignment="1">
      <alignment horizontal="center" vertical="center" wrapText="1"/>
    </xf>
    <xf numFmtId="49" fontId="23" fillId="3" borderId="5" xfId="0" applyNumberFormat="1" applyFont="1" applyFill="1" applyBorder="1" applyAlignment="1">
      <alignment horizontal="center" vertical="center" wrapText="1"/>
    </xf>
    <xf numFmtId="20" fontId="23" fillId="3" borderId="5" xfId="0" applyNumberFormat="1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/>
    </xf>
    <xf numFmtId="0" fontId="29" fillId="0" borderId="0" xfId="0" applyFont="1" applyAlignment="1">
      <alignment wrapText="1"/>
    </xf>
    <xf numFmtId="20" fontId="4" fillId="3" borderId="2" xfId="0" applyNumberFormat="1" applyFont="1" applyFill="1" applyBorder="1" applyAlignment="1">
      <alignment horizontal="center" vertical="center"/>
    </xf>
    <xf numFmtId="180" fontId="22" fillId="2" borderId="1" xfId="0" quotePrefix="1" applyNumberFormat="1" applyFont="1" applyFill="1" applyBorder="1" applyAlignment="1">
      <alignment horizontal="center" vertical="center"/>
    </xf>
    <xf numFmtId="179" fontId="22" fillId="3" borderId="5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76" fontId="25" fillId="2" borderId="1" xfId="0" applyNumberFormat="1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180" fontId="25" fillId="0" borderId="1" xfId="0" applyNumberFormat="1" applyFont="1" applyBorder="1" applyAlignment="1">
      <alignment horizontal="center" vertical="center"/>
    </xf>
    <xf numFmtId="179" fontId="25" fillId="0" borderId="1" xfId="0" applyNumberFormat="1" applyFont="1" applyBorder="1" applyAlignment="1">
      <alignment horizontal="center" vertical="center"/>
    </xf>
    <xf numFmtId="179" fontId="25" fillId="0" borderId="3" xfId="0" applyNumberFormat="1" applyFont="1" applyBorder="1" applyAlignment="1">
      <alignment horizontal="center" vertical="center"/>
    </xf>
    <xf numFmtId="176" fontId="25" fillId="3" borderId="1" xfId="0" applyNumberFormat="1" applyFont="1" applyFill="1" applyBorder="1" applyAlignment="1">
      <alignment horizontal="center" vertical="center" wrapText="1"/>
    </xf>
    <xf numFmtId="20" fontId="23" fillId="2" borderId="1" xfId="0" applyNumberFormat="1" applyFont="1" applyFill="1" applyBorder="1" applyAlignment="1">
      <alignment horizontal="center" vertical="center" wrapText="1"/>
    </xf>
    <xf numFmtId="20" fontId="25" fillId="0" borderId="1" xfId="0" applyNumberFormat="1" applyFont="1" applyBorder="1" applyAlignment="1">
      <alignment horizontal="center" vertical="center"/>
    </xf>
    <xf numFmtId="20" fontId="22" fillId="2" borderId="1" xfId="0" applyNumberFormat="1" applyFont="1" applyFill="1" applyBorder="1" applyAlignment="1">
      <alignment horizontal="center" vertical="center"/>
    </xf>
    <xf numFmtId="176" fontId="22" fillId="2" borderId="1" xfId="0" applyNumberFormat="1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/>
    <xf numFmtId="0" fontId="24" fillId="2" borderId="1" xfId="0" applyFont="1" applyFill="1" applyBorder="1" applyAlignment="1">
      <alignment horizontal="center" vertical="center"/>
    </xf>
    <xf numFmtId="178" fontId="24" fillId="2" borderId="1" xfId="0" applyNumberFormat="1" applyFont="1" applyFill="1" applyBorder="1" applyAlignment="1">
      <alignment horizontal="center" vertical="center"/>
    </xf>
    <xf numFmtId="180" fontId="24" fillId="2" borderId="1" xfId="0" applyNumberFormat="1" applyFont="1" applyFill="1" applyBorder="1" applyAlignment="1">
      <alignment horizontal="center" vertical="center"/>
    </xf>
    <xf numFmtId="179" fontId="24" fillId="2" borderId="1" xfId="0" applyNumberFormat="1" applyFont="1" applyFill="1" applyBorder="1" applyAlignment="1">
      <alignment horizontal="center" vertical="center"/>
    </xf>
    <xf numFmtId="20" fontId="24" fillId="2" borderId="1" xfId="0" applyNumberFormat="1" applyFont="1" applyFill="1" applyBorder="1" applyAlignment="1">
      <alignment horizontal="center" vertical="center"/>
    </xf>
    <xf numFmtId="176" fontId="24" fillId="2" borderId="1" xfId="0" applyNumberFormat="1" applyFont="1" applyFill="1" applyBorder="1" applyAlignment="1">
      <alignment horizontal="center" vertical="center" wrapText="1"/>
    </xf>
    <xf numFmtId="20" fontId="24" fillId="2" borderId="1" xfId="0" applyNumberFormat="1" applyFont="1" applyFill="1" applyBorder="1" applyAlignment="1">
      <alignment horizontal="center" vertical="center" wrapText="1"/>
    </xf>
    <xf numFmtId="49" fontId="24" fillId="2" borderId="0" xfId="0" applyNumberFormat="1" applyFont="1" applyFill="1" applyAlignment="1">
      <alignment horizontal="center" vertical="center" wrapText="1"/>
    </xf>
    <xf numFmtId="20" fontId="24" fillId="2" borderId="0" xfId="0" applyNumberFormat="1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176" fontId="24" fillId="2" borderId="0" xfId="0" applyNumberFormat="1" applyFont="1" applyFill="1" applyAlignment="1">
      <alignment horizontal="center" vertical="center"/>
    </xf>
    <xf numFmtId="20" fontId="25" fillId="0" borderId="0" xfId="0" applyNumberFormat="1" applyFont="1" applyAlignment="1">
      <alignment horizontal="center" vertical="center"/>
    </xf>
    <xf numFmtId="178" fontId="24" fillId="2" borderId="0" xfId="0" applyNumberFormat="1" applyFont="1" applyFill="1" applyAlignment="1">
      <alignment horizontal="center" vertical="center"/>
    </xf>
    <xf numFmtId="180" fontId="24" fillId="2" borderId="0" xfId="0" applyNumberFormat="1" applyFont="1" applyFill="1" applyAlignment="1">
      <alignment horizontal="center" vertical="center"/>
    </xf>
    <xf numFmtId="179" fontId="24" fillId="2" borderId="0" xfId="0" applyNumberFormat="1" applyFont="1" applyFill="1" applyAlignment="1">
      <alignment horizontal="center" vertical="center"/>
    </xf>
    <xf numFmtId="179" fontId="22" fillId="2" borderId="0" xfId="0" applyNumberFormat="1" applyFont="1" applyFill="1" applyAlignment="1">
      <alignment horizontal="center" vertical="center"/>
    </xf>
    <xf numFmtId="49" fontId="31" fillId="0" borderId="0" xfId="0" applyNumberFormat="1" applyFont="1"/>
    <xf numFmtId="0" fontId="31" fillId="0" borderId="0" xfId="0" applyFont="1"/>
    <xf numFmtId="0" fontId="31" fillId="0" borderId="0" xfId="0" applyFont="1" applyAlignment="1">
      <alignment horizontal="right"/>
    </xf>
    <xf numFmtId="180" fontId="31" fillId="0" borderId="0" xfId="0" applyNumberFormat="1" applyFont="1"/>
    <xf numFmtId="179" fontId="31" fillId="0" borderId="0" xfId="0" applyNumberFormat="1" applyFont="1"/>
    <xf numFmtId="49" fontId="24" fillId="3" borderId="5" xfId="0" applyNumberFormat="1" applyFont="1" applyFill="1" applyBorder="1" applyAlignment="1">
      <alignment horizontal="center" vertical="center" wrapText="1"/>
    </xf>
    <xf numFmtId="20" fontId="24" fillId="3" borderId="5" xfId="0" applyNumberFormat="1" applyFont="1" applyFill="1" applyBorder="1" applyAlignment="1">
      <alignment horizontal="center" vertical="center" wrapText="1"/>
    </xf>
    <xf numFmtId="49" fontId="32" fillId="3" borderId="1" xfId="0" applyNumberFormat="1" applyFont="1" applyFill="1" applyBorder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78" fontId="25" fillId="3" borderId="1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6" fontId="0" fillId="0" borderId="0" xfId="0" applyNumberFormat="1"/>
    <xf numFmtId="178" fontId="25" fillId="3" borderId="5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180" fontId="25" fillId="3" borderId="1" xfId="0" applyNumberFormat="1" applyFont="1" applyFill="1" applyBorder="1" applyAlignment="1">
      <alignment horizontal="center" vertical="center"/>
    </xf>
    <xf numFmtId="179" fontId="25" fillId="3" borderId="1" xfId="0" applyNumberFormat="1" applyFont="1" applyFill="1" applyBorder="1" applyAlignment="1">
      <alignment horizontal="center" vertical="center"/>
    </xf>
    <xf numFmtId="179" fontId="25" fillId="3" borderId="3" xfId="0" applyNumberFormat="1" applyFont="1" applyFill="1" applyBorder="1" applyAlignment="1">
      <alignment horizontal="center" vertical="center"/>
    </xf>
    <xf numFmtId="20" fontId="25" fillId="3" borderId="5" xfId="0" applyNumberFormat="1" applyFont="1" applyFill="1" applyBorder="1" applyAlignment="1">
      <alignment horizontal="center" vertical="center"/>
    </xf>
    <xf numFmtId="178" fontId="22" fillId="3" borderId="5" xfId="0" applyNumberFormat="1" applyFont="1" applyFill="1" applyBorder="1" applyAlignment="1">
      <alignment horizontal="center" vertical="center"/>
    </xf>
    <xf numFmtId="178" fontId="22" fillId="3" borderId="8" xfId="0" applyNumberFormat="1" applyFont="1" applyFill="1" applyBorder="1" applyAlignment="1">
      <alignment horizontal="center" vertical="center"/>
    </xf>
    <xf numFmtId="20" fontId="22" fillId="3" borderId="6" xfId="0" applyNumberFormat="1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/>
    </xf>
    <xf numFmtId="177" fontId="22" fillId="3" borderId="7" xfId="0" applyNumberFormat="1" applyFont="1" applyFill="1" applyBorder="1" applyAlignment="1">
      <alignment horizontal="center" vertical="center"/>
    </xf>
    <xf numFmtId="179" fontId="24" fillId="3" borderId="3" xfId="0" applyNumberFormat="1" applyFont="1" applyFill="1" applyBorder="1" applyAlignment="1">
      <alignment horizontal="center" vertical="center"/>
    </xf>
    <xf numFmtId="176" fontId="22" fillId="3" borderId="1" xfId="0" applyNumberFormat="1" applyFont="1" applyFill="1" applyBorder="1" applyAlignment="1">
      <alignment horizontal="center" vertical="center"/>
    </xf>
    <xf numFmtId="178" fontId="24" fillId="3" borderId="1" xfId="0" applyNumberFormat="1" applyFont="1" applyFill="1" applyBorder="1" applyAlignment="1">
      <alignment horizontal="center" vertical="center"/>
    </xf>
    <xf numFmtId="49" fontId="24" fillId="3" borderId="1" xfId="0" applyNumberFormat="1" applyFont="1" applyFill="1" applyBorder="1" applyAlignment="1">
      <alignment horizontal="center" vertical="center"/>
    </xf>
    <xf numFmtId="20" fontId="24" fillId="3" borderId="1" xfId="0" applyNumberFormat="1" applyFont="1" applyFill="1" applyBorder="1" applyAlignment="1">
      <alignment horizontal="center" vertical="center"/>
    </xf>
    <xf numFmtId="176" fontId="24" fillId="3" borderId="1" xfId="0" applyNumberFormat="1" applyFont="1" applyFill="1" applyBorder="1" applyAlignment="1">
      <alignment horizontal="center" vertical="center" wrapText="1"/>
    </xf>
    <xf numFmtId="49" fontId="31" fillId="3" borderId="0" xfId="0" applyNumberFormat="1" applyFont="1" applyFill="1"/>
    <xf numFmtId="0" fontId="31" fillId="3" borderId="0" xfId="0" applyFont="1" applyFill="1"/>
    <xf numFmtId="0" fontId="31" fillId="3" borderId="0" xfId="0" applyFont="1" applyFill="1" applyAlignment="1">
      <alignment horizontal="right"/>
    </xf>
    <xf numFmtId="178" fontId="31" fillId="3" borderId="0" xfId="0" applyNumberFormat="1" applyFont="1" applyFill="1"/>
    <xf numFmtId="180" fontId="31" fillId="3" borderId="0" xfId="0" applyNumberFormat="1" applyFont="1" applyFill="1"/>
    <xf numFmtId="179" fontId="31" fillId="3" borderId="0" xfId="0" applyNumberFormat="1" applyFont="1" applyFill="1"/>
    <xf numFmtId="176" fontId="25" fillId="3" borderId="5" xfId="0" applyNumberFormat="1" applyFont="1" applyFill="1" applyBorder="1" applyAlignment="1">
      <alignment horizontal="center" vertical="center"/>
    </xf>
    <xf numFmtId="176" fontId="24" fillId="3" borderId="3" xfId="0" applyNumberFormat="1" applyFont="1" applyFill="1" applyBorder="1" applyAlignment="1">
      <alignment horizontal="center" vertical="center"/>
    </xf>
    <xf numFmtId="20" fontId="25" fillId="3" borderId="8" xfId="0" applyNumberFormat="1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8" fontId="22" fillId="3" borderId="3" xfId="0" applyNumberFormat="1" applyFont="1" applyFill="1" applyBorder="1" applyAlignment="1">
      <alignment horizontal="center" vertical="center" wrapText="1"/>
    </xf>
    <xf numFmtId="178" fontId="24" fillId="3" borderId="8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179" fontId="22" fillId="3" borderId="8" xfId="0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20" fontId="23" fillId="3" borderId="6" xfId="0" applyNumberFormat="1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20" fontId="24" fillId="3" borderId="11" xfId="0" applyNumberFormat="1" applyFont="1" applyFill="1" applyBorder="1" applyAlignment="1">
      <alignment horizontal="center" vertical="center"/>
    </xf>
    <xf numFmtId="20" fontId="24" fillId="3" borderId="8" xfId="0" applyNumberFormat="1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179" fontId="24" fillId="3" borderId="8" xfId="0" applyNumberFormat="1" applyFont="1" applyFill="1" applyBorder="1" applyAlignment="1">
      <alignment horizontal="center" vertical="center"/>
    </xf>
    <xf numFmtId="40" fontId="29" fillId="0" borderId="0" xfId="0" applyNumberFormat="1" applyFont="1" applyAlignment="1">
      <alignment wrapText="1"/>
    </xf>
    <xf numFmtId="0" fontId="4" fillId="2" borderId="5" xfId="0" applyFont="1" applyFill="1" applyBorder="1" applyAlignment="1">
      <alignment horizontal="center" vertical="center"/>
    </xf>
    <xf numFmtId="20" fontId="3" fillId="3" borderId="6" xfId="0" quotePrefix="1" applyNumberFormat="1" applyFont="1" applyFill="1" applyBorder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79" fontId="4" fillId="2" borderId="18" xfId="0" applyNumberFormat="1" applyFont="1" applyFill="1" applyBorder="1" applyAlignment="1">
      <alignment horizontal="center" vertical="center"/>
    </xf>
    <xf numFmtId="179" fontId="22" fillId="2" borderId="18" xfId="0" applyNumberFormat="1" applyFont="1" applyFill="1" applyBorder="1" applyAlignment="1">
      <alignment horizontal="center" vertical="center"/>
    </xf>
    <xf numFmtId="180" fontId="22" fillId="3" borderId="6" xfId="0" applyNumberFormat="1" applyFont="1" applyFill="1" applyBorder="1" applyAlignment="1">
      <alignment horizontal="center" vertical="center"/>
    </xf>
    <xf numFmtId="179" fontId="22" fillId="3" borderId="6" xfId="0" applyNumberFormat="1" applyFont="1" applyFill="1" applyBorder="1" applyAlignment="1">
      <alignment horizontal="center" vertical="center"/>
    </xf>
    <xf numFmtId="176" fontId="5" fillId="3" borderId="1" xfId="0" quotePrefix="1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wrapText="1"/>
    </xf>
    <xf numFmtId="24" fontId="5" fillId="4" borderId="1" xfId="0" applyNumberFormat="1" applyFont="1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zoomScale="110" zoomScaleNormal="110" workbookViewId="0">
      <selection activeCell="F21" sqref="F21"/>
    </sheetView>
  </sheetViews>
  <sheetFormatPr defaultColWidth="8.75" defaultRowHeight="15"/>
  <cols>
    <col min="1" max="1" width="11" bestFit="1" customWidth="1"/>
    <col min="2" max="2" width="12.875" customWidth="1"/>
    <col min="3" max="3" width="8.875" bestFit="1" customWidth="1"/>
    <col min="5" max="5" width="10.125" customWidth="1"/>
    <col min="8" max="8" width="8.75" customWidth="1"/>
    <col min="12" max="12" width="12.25" customWidth="1"/>
  </cols>
  <sheetData>
    <row r="1" spans="1:11" ht="15" customHeight="1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75">
      <c r="A2" s="201" t="s">
        <v>0</v>
      </c>
      <c r="B2" s="202" t="s">
        <v>1</v>
      </c>
      <c r="C2" s="203" t="s">
        <v>2</v>
      </c>
      <c r="D2" s="203" t="s">
        <v>3</v>
      </c>
      <c r="E2" s="203" t="s">
        <v>4</v>
      </c>
      <c r="F2" s="203" t="s">
        <v>5</v>
      </c>
      <c r="G2" s="203" t="s">
        <v>6</v>
      </c>
      <c r="H2" s="203" t="s">
        <v>7</v>
      </c>
      <c r="I2" s="203" t="s">
        <v>8</v>
      </c>
      <c r="J2" s="203" t="s">
        <v>9</v>
      </c>
      <c r="K2" s="204" t="s">
        <v>10</v>
      </c>
    </row>
    <row r="3" spans="1:11" ht="15.75">
      <c r="A3" s="205"/>
      <c r="B3" s="206" t="s">
        <v>2</v>
      </c>
      <c r="C3" s="207">
        <v>250</v>
      </c>
      <c r="D3" s="207">
        <v>310</v>
      </c>
      <c r="E3" s="207">
        <v>400</v>
      </c>
      <c r="F3" s="207">
        <v>360</v>
      </c>
      <c r="G3" s="207">
        <v>360</v>
      </c>
      <c r="H3" s="207">
        <v>410</v>
      </c>
      <c r="I3" s="207">
        <v>310</v>
      </c>
      <c r="J3" s="207">
        <v>310</v>
      </c>
      <c r="K3" s="207">
        <v>250</v>
      </c>
    </row>
    <row r="4" spans="1:11" ht="15.75">
      <c r="A4" s="205"/>
      <c r="B4" s="206" t="s">
        <v>3</v>
      </c>
      <c r="C4" s="207">
        <v>300</v>
      </c>
      <c r="D4" s="207">
        <v>250</v>
      </c>
      <c r="E4" s="207">
        <v>460</v>
      </c>
      <c r="F4" s="207">
        <v>450</v>
      </c>
      <c r="G4" s="207">
        <v>450</v>
      </c>
      <c r="H4" s="207">
        <v>460</v>
      </c>
      <c r="I4" s="207">
        <v>360</v>
      </c>
      <c r="J4" s="207">
        <v>410</v>
      </c>
      <c r="K4" s="207">
        <v>300</v>
      </c>
    </row>
    <row r="5" spans="1:11" ht="15.75">
      <c r="A5" s="205"/>
      <c r="B5" s="206" t="s">
        <v>4</v>
      </c>
      <c r="C5" s="207">
        <v>400</v>
      </c>
      <c r="D5" s="207">
        <v>460</v>
      </c>
      <c r="E5" s="207">
        <v>250</v>
      </c>
      <c r="F5" s="207">
        <v>450</v>
      </c>
      <c r="G5" s="207">
        <v>500</v>
      </c>
      <c r="H5" s="207" t="s">
        <v>11</v>
      </c>
      <c r="I5" s="207">
        <v>480</v>
      </c>
      <c r="J5" s="207">
        <v>400</v>
      </c>
      <c r="K5" s="207">
        <v>400</v>
      </c>
    </row>
    <row r="6" spans="1:11" ht="15.75">
      <c r="A6" s="205"/>
      <c r="B6" s="206" t="s">
        <v>5</v>
      </c>
      <c r="C6" s="207">
        <v>360</v>
      </c>
      <c r="D6" s="207">
        <v>450</v>
      </c>
      <c r="E6" s="207">
        <v>450</v>
      </c>
      <c r="F6" s="207">
        <v>250</v>
      </c>
      <c r="G6" s="207">
        <v>390</v>
      </c>
      <c r="H6" s="207">
        <v>310</v>
      </c>
      <c r="I6" s="207">
        <v>360</v>
      </c>
      <c r="J6" s="207">
        <v>290</v>
      </c>
      <c r="K6" s="207">
        <v>450</v>
      </c>
    </row>
    <row r="7" spans="1:11" ht="15.75">
      <c r="A7" s="205"/>
      <c r="B7" s="206" t="s">
        <v>6</v>
      </c>
      <c r="C7" s="207">
        <v>360</v>
      </c>
      <c r="D7" s="207">
        <v>450</v>
      </c>
      <c r="E7" s="207">
        <v>500</v>
      </c>
      <c r="F7" s="207">
        <v>390</v>
      </c>
      <c r="G7" s="207">
        <v>250</v>
      </c>
      <c r="H7" s="207">
        <v>460</v>
      </c>
      <c r="I7" s="207">
        <v>290</v>
      </c>
      <c r="J7" s="207">
        <v>360</v>
      </c>
      <c r="K7" s="207">
        <v>400</v>
      </c>
    </row>
    <row r="8" spans="1:11" ht="15.75">
      <c r="A8" s="205"/>
      <c r="B8" s="206" t="s">
        <v>7</v>
      </c>
      <c r="C8" s="207">
        <v>410</v>
      </c>
      <c r="D8" s="207">
        <v>460</v>
      </c>
      <c r="E8" s="207" t="s">
        <v>11</v>
      </c>
      <c r="F8" s="207">
        <v>310</v>
      </c>
      <c r="G8" s="207">
        <v>460</v>
      </c>
      <c r="H8" s="207">
        <v>250</v>
      </c>
      <c r="I8" s="207">
        <v>440</v>
      </c>
      <c r="J8" s="207">
        <v>410</v>
      </c>
      <c r="K8" s="208">
        <v>450</v>
      </c>
    </row>
    <row r="9" spans="1:11" ht="15.75">
      <c r="A9" s="205"/>
      <c r="B9" s="206" t="s">
        <v>8</v>
      </c>
      <c r="C9" s="207">
        <v>310</v>
      </c>
      <c r="D9" s="207">
        <v>360</v>
      </c>
      <c r="E9" s="207">
        <v>480</v>
      </c>
      <c r="F9" s="207">
        <v>360</v>
      </c>
      <c r="G9" s="207">
        <v>290</v>
      </c>
      <c r="H9" s="207">
        <v>440</v>
      </c>
      <c r="I9" s="207">
        <v>250</v>
      </c>
      <c r="J9" s="207">
        <v>360</v>
      </c>
      <c r="K9" s="209">
        <v>300</v>
      </c>
    </row>
    <row r="10" spans="1:11" ht="15.75">
      <c r="A10" s="205"/>
      <c r="B10" s="210" t="s">
        <v>9</v>
      </c>
      <c r="C10" s="207">
        <v>310</v>
      </c>
      <c r="D10" s="207">
        <v>410</v>
      </c>
      <c r="E10" s="207">
        <v>400</v>
      </c>
      <c r="F10" s="207">
        <v>290</v>
      </c>
      <c r="G10" s="207">
        <v>360</v>
      </c>
      <c r="H10" s="207">
        <v>410</v>
      </c>
      <c r="I10" s="207">
        <v>360</v>
      </c>
      <c r="J10" s="207">
        <v>250</v>
      </c>
      <c r="K10" s="207">
        <v>300</v>
      </c>
    </row>
    <row r="11" spans="1:11" ht="15.75">
      <c r="A11" s="205"/>
      <c r="B11" s="211" t="s">
        <v>10</v>
      </c>
      <c r="C11" s="207">
        <v>250</v>
      </c>
      <c r="D11" s="207">
        <v>300</v>
      </c>
      <c r="E11" s="207">
        <v>380</v>
      </c>
      <c r="F11" s="207">
        <v>450</v>
      </c>
      <c r="G11" s="207">
        <v>400</v>
      </c>
      <c r="H11" s="207">
        <v>450</v>
      </c>
      <c r="I11" s="207">
        <v>300</v>
      </c>
      <c r="J11" s="207">
        <v>300</v>
      </c>
      <c r="K11" s="207" t="s">
        <v>12</v>
      </c>
    </row>
    <row r="14" spans="1:11" ht="16.5">
      <c r="B14" s="323" t="s">
        <v>13</v>
      </c>
      <c r="C14" s="411">
        <v>350</v>
      </c>
    </row>
    <row r="15" spans="1:11" ht="16.5">
      <c r="B15" s="323" t="s">
        <v>14</v>
      </c>
      <c r="C15" s="411">
        <v>400</v>
      </c>
    </row>
    <row r="16" spans="1:11" ht="16.5">
      <c r="B16" s="323" t="s">
        <v>15</v>
      </c>
      <c r="C16" s="323">
        <v>250</v>
      </c>
    </row>
    <row r="17" spans="2:3" ht="16.5">
      <c r="B17" s="323" t="s">
        <v>16</v>
      </c>
      <c r="C17" s="323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5DD8-DF1D-4025-AAEA-A52153F4C783}">
  <dimension ref="A1:P134"/>
  <sheetViews>
    <sheetView topLeftCell="C1" zoomScale="80" zoomScaleNormal="80" workbookViewId="0">
      <selection activeCell="F13" sqref="F13"/>
    </sheetView>
  </sheetViews>
  <sheetFormatPr defaultColWidth="8.75" defaultRowHeight="15"/>
  <cols>
    <col min="1" max="1" width="12.5" style="29" customWidth="1"/>
    <col min="3" max="3" width="60.1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19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88" t="s">
        <v>29</v>
      </c>
      <c r="N1" s="3" t="s">
        <v>30</v>
      </c>
    </row>
    <row r="2" spans="1:16" s="111" customFormat="1" ht="17.25" customHeight="1">
      <c r="A2" s="144" t="s">
        <v>31</v>
      </c>
      <c r="B2" s="129">
        <v>0.14583333333333334</v>
      </c>
      <c r="C2" s="92" t="s">
        <v>32</v>
      </c>
      <c r="D2" s="120" t="s">
        <v>33</v>
      </c>
      <c r="E2" s="157" t="s">
        <v>34</v>
      </c>
      <c r="F2" s="112">
        <v>0.14583333333333334</v>
      </c>
      <c r="G2" s="112">
        <v>0.16666666666666666</v>
      </c>
      <c r="H2" s="92"/>
      <c r="I2" s="113"/>
      <c r="J2" s="200" t="s">
        <v>35</v>
      </c>
      <c r="K2" s="215">
        <v>60</v>
      </c>
      <c r="L2" s="44">
        <v>400</v>
      </c>
      <c r="M2" s="42">
        <f t="shared" ref="M2:M11" si="0">SUM(K2:L2)</f>
        <v>460</v>
      </c>
      <c r="N2" s="42">
        <v>30</v>
      </c>
    </row>
    <row r="3" spans="1:16" s="111" customFormat="1">
      <c r="A3" s="144" t="s">
        <v>36</v>
      </c>
      <c r="B3" s="129">
        <v>0.20833333333333334</v>
      </c>
      <c r="C3" s="92" t="s">
        <v>32</v>
      </c>
      <c r="D3" s="39" t="s">
        <v>33</v>
      </c>
      <c r="E3" s="157" t="s">
        <v>34</v>
      </c>
      <c r="F3" s="112">
        <v>0.20833333333333334</v>
      </c>
      <c r="G3" s="112">
        <v>0.22916666666666666</v>
      </c>
      <c r="H3" s="39"/>
      <c r="I3" s="41"/>
      <c r="J3" s="200" t="s">
        <v>35</v>
      </c>
      <c r="K3" s="42">
        <v>60</v>
      </c>
      <c r="L3" s="226">
        <v>400</v>
      </c>
      <c r="M3" s="42">
        <f t="shared" si="0"/>
        <v>460</v>
      </c>
      <c r="N3" s="42">
        <v>30</v>
      </c>
    </row>
    <row r="4" spans="1:16" s="111" customFormat="1">
      <c r="A4" s="144" t="s">
        <v>37</v>
      </c>
      <c r="B4" s="129">
        <v>0.34027777777777779</v>
      </c>
      <c r="C4" s="92" t="s">
        <v>38</v>
      </c>
      <c r="D4" s="39" t="s">
        <v>39</v>
      </c>
      <c r="E4" s="157" t="s">
        <v>34</v>
      </c>
      <c r="F4" s="112">
        <v>0.37083333333333335</v>
      </c>
      <c r="G4" s="112">
        <v>0.39027777777777778</v>
      </c>
      <c r="H4" s="39"/>
      <c r="I4" s="41"/>
      <c r="J4" s="200" t="s">
        <v>40</v>
      </c>
      <c r="K4" s="42">
        <v>35</v>
      </c>
      <c r="L4" s="226">
        <v>400</v>
      </c>
      <c r="M4" s="42">
        <f t="shared" si="0"/>
        <v>435</v>
      </c>
      <c r="N4" s="42">
        <v>30</v>
      </c>
    </row>
    <row r="5" spans="1:16" s="111" customFormat="1" ht="17.25" customHeight="1">
      <c r="A5" s="90" t="s">
        <v>41</v>
      </c>
      <c r="B5" s="48">
        <v>0.36458333333333331</v>
      </c>
      <c r="C5" s="100" t="s">
        <v>38</v>
      </c>
      <c r="D5" s="7" t="s">
        <v>42</v>
      </c>
      <c r="E5" s="157" t="s">
        <v>34</v>
      </c>
      <c r="F5" s="112">
        <v>0.37430555555555556</v>
      </c>
      <c r="G5" s="112">
        <v>0.39583333333333331</v>
      </c>
      <c r="H5" s="39"/>
      <c r="I5" s="41"/>
      <c r="J5" s="43" t="s">
        <v>40</v>
      </c>
      <c r="K5" s="42">
        <v>35</v>
      </c>
      <c r="L5" s="44">
        <v>400</v>
      </c>
      <c r="M5" s="42">
        <f t="shared" si="0"/>
        <v>435</v>
      </c>
      <c r="N5" s="42">
        <v>30</v>
      </c>
    </row>
    <row r="6" spans="1:16" s="111" customFormat="1" ht="17.25" customHeight="1">
      <c r="A6" s="90" t="s">
        <v>43</v>
      </c>
      <c r="B6" s="48">
        <v>0.33333333333333331</v>
      </c>
      <c r="C6" s="100" t="s">
        <v>44</v>
      </c>
      <c r="D6" s="39" t="s">
        <v>33</v>
      </c>
      <c r="E6" s="92" t="s">
        <v>34</v>
      </c>
      <c r="F6" s="40">
        <v>0.33333333333333331</v>
      </c>
      <c r="G6" s="40">
        <v>0.44305555555555554</v>
      </c>
      <c r="H6" s="39"/>
      <c r="I6" s="41"/>
      <c r="J6" s="192" t="s">
        <v>45</v>
      </c>
      <c r="K6" s="193">
        <v>242</v>
      </c>
      <c r="L6" s="194">
        <v>920</v>
      </c>
      <c r="M6" s="42">
        <f t="shared" si="0"/>
        <v>1162</v>
      </c>
      <c r="N6" s="42">
        <v>30</v>
      </c>
      <c r="P6" s="111" t="s">
        <v>46</v>
      </c>
    </row>
    <row r="7" spans="1:16" s="111" customFormat="1" ht="17.25" customHeight="1">
      <c r="A7" s="45" t="s">
        <v>47</v>
      </c>
      <c r="B7" s="46">
        <v>0.75</v>
      </c>
      <c r="C7" s="39" t="s">
        <v>48</v>
      </c>
      <c r="D7" s="7" t="s">
        <v>49</v>
      </c>
      <c r="E7" s="157" t="s">
        <v>34</v>
      </c>
      <c r="F7" s="40">
        <v>0.75</v>
      </c>
      <c r="G7" s="40">
        <v>0.77083333333333337</v>
      </c>
      <c r="H7" s="39"/>
      <c r="I7" s="41"/>
      <c r="J7" s="41"/>
      <c r="K7" s="135"/>
      <c r="L7" s="135">
        <v>400</v>
      </c>
      <c r="M7" s="42">
        <f t="shared" si="0"/>
        <v>400</v>
      </c>
      <c r="N7" s="42">
        <v>30</v>
      </c>
    </row>
    <row r="8" spans="1:16" s="111" customFormat="1" ht="17.25" customHeight="1">
      <c r="A8" s="45" t="s">
        <v>50</v>
      </c>
      <c r="B8" s="46">
        <v>0.76041666666666663</v>
      </c>
      <c r="C8" s="39" t="s">
        <v>48</v>
      </c>
      <c r="D8" s="39" t="s">
        <v>51</v>
      </c>
      <c r="E8" s="92" t="s">
        <v>34</v>
      </c>
      <c r="F8" s="40">
        <v>0.76041666666666663</v>
      </c>
      <c r="G8" s="40">
        <v>0.77916666666666667</v>
      </c>
      <c r="H8" s="39"/>
      <c r="I8" s="41"/>
      <c r="J8" s="160"/>
      <c r="K8" s="135"/>
      <c r="L8" s="135">
        <v>400</v>
      </c>
      <c r="M8" s="42">
        <f t="shared" si="0"/>
        <v>400</v>
      </c>
      <c r="N8" s="42">
        <v>30</v>
      </c>
    </row>
    <row r="9" spans="1:16" s="111" customFormat="1" ht="17.25" customHeight="1">
      <c r="A9" s="313" t="s">
        <v>52</v>
      </c>
      <c r="B9" s="173">
        <v>0.45833333333333331</v>
      </c>
      <c r="C9" s="164" t="s">
        <v>53</v>
      </c>
      <c r="D9" s="164" t="s">
        <v>42</v>
      </c>
      <c r="E9" s="157" t="s">
        <v>34</v>
      </c>
      <c r="F9" s="165">
        <v>0.4548611111111111</v>
      </c>
      <c r="G9" s="165">
        <v>0.4777777777777778</v>
      </c>
      <c r="H9" s="164"/>
      <c r="I9" s="160"/>
      <c r="J9" s="160"/>
      <c r="K9" s="214"/>
      <c r="L9" s="214">
        <v>400</v>
      </c>
      <c r="M9" s="156">
        <f t="shared" si="0"/>
        <v>400</v>
      </c>
      <c r="N9" s="156">
        <v>30</v>
      </c>
    </row>
    <row r="10" spans="1:16" s="111" customFormat="1" ht="17.25" customHeight="1">
      <c r="A10" s="90"/>
      <c r="B10" s="48"/>
      <c r="C10" s="100"/>
      <c r="D10" s="39"/>
      <c r="E10" s="39"/>
      <c r="F10" s="40"/>
      <c r="G10" s="40"/>
      <c r="H10" s="49"/>
      <c r="I10" s="41"/>
      <c r="J10" s="41"/>
      <c r="K10" s="42"/>
      <c r="L10" s="42"/>
      <c r="M10" s="42">
        <f t="shared" si="0"/>
        <v>0</v>
      </c>
      <c r="N10" s="42"/>
    </row>
    <row r="11" spans="1:16" s="111" customFormat="1" ht="17.25" customHeight="1">
      <c r="A11" s="90"/>
      <c r="B11" s="48"/>
      <c r="C11" s="100"/>
      <c r="D11" s="39"/>
      <c r="E11" s="39"/>
      <c r="F11" s="40"/>
      <c r="G11" s="40"/>
      <c r="H11" s="49"/>
      <c r="I11" s="41"/>
      <c r="J11" s="41"/>
      <c r="K11" s="42"/>
      <c r="L11" s="42"/>
      <c r="M11" s="42">
        <f t="shared" si="0"/>
        <v>0</v>
      </c>
      <c r="N11" s="42"/>
    </row>
    <row r="12" spans="1:16" s="111" customFormat="1" ht="17.25" customHeight="1">
      <c r="A12" s="45"/>
      <c r="B12" s="48"/>
      <c r="C12" s="39"/>
      <c r="D12" s="7"/>
      <c r="E12" s="39"/>
      <c r="F12" s="40"/>
      <c r="G12" s="40"/>
      <c r="H12" s="49"/>
      <c r="I12" s="41"/>
      <c r="J12" s="96"/>
      <c r="K12" s="42"/>
      <c r="L12" s="44"/>
      <c r="M12" s="50"/>
      <c r="N12" s="42"/>
    </row>
    <row r="13" spans="1:16" s="6" customFormat="1" ht="17.25" customHeight="1">
      <c r="A13" s="59"/>
      <c r="B13" s="52"/>
      <c r="C13" s="53"/>
      <c r="D13" s="19"/>
      <c r="E13" s="53"/>
      <c r="F13" s="54"/>
      <c r="G13" s="54"/>
      <c r="H13" s="53"/>
      <c r="I13" s="55"/>
      <c r="J13" s="43"/>
      <c r="K13" s="42"/>
      <c r="L13" s="44"/>
      <c r="M13" s="50"/>
      <c r="N13" s="42"/>
    </row>
    <row r="14" spans="1:16" ht="17.25" customHeight="1">
      <c r="A14" s="45"/>
      <c r="B14" s="46"/>
      <c r="C14" s="39"/>
      <c r="D14" s="60"/>
      <c r="E14" s="39"/>
      <c r="F14" s="40"/>
      <c r="G14" s="40"/>
      <c r="H14" s="39"/>
      <c r="I14" s="41"/>
      <c r="J14" s="43"/>
      <c r="K14" s="42"/>
      <c r="L14" s="44"/>
      <c r="M14" s="50"/>
      <c r="N14" s="42"/>
    </row>
    <row r="15" spans="1:16" ht="17.25" customHeight="1">
      <c r="A15" s="47"/>
      <c r="B15" s="48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50"/>
      <c r="N15" s="42"/>
    </row>
    <row r="16" spans="1:16" ht="17.25" customHeight="1">
      <c r="A16" s="45"/>
      <c r="B16" s="46"/>
      <c r="C16" s="39"/>
      <c r="D16" s="7"/>
      <c r="E16" s="39"/>
      <c r="F16" s="40"/>
      <c r="G16" s="40"/>
      <c r="H16" s="39"/>
      <c r="I16" s="41"/>
      <c r="J16" s="43"/>
      <c r="K16" s="42"/>
      <c r="L16" s="42"/>
      <c r="M16" s="50"/>
      <c r="N16" s="42"/>
    </row>
    <row r="17" spans="1:14" ht="17.25" customHeight="1">
      <c r="A17" s="1"/>
      <c r="B17" s="8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50"/>
      <c r="N17" s="42"/>
    </row>
    <row r="18" spans="1:14" ht="17.25" customHeight="1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50"/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50"/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>
      <c r="A22" s="51"/>
      <c r="B22" s="62"/>
      <c r="C22" s="53"/>
      <c r="D22" s="63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>
      <c r="A23" s="115"/>
      <c r="B23" s="8"/>
      <c r="C23" s="116"/>
      <c r="D23" s="19"/>
      <c r="E23" s="53"/>
      <c r="F23" s="54"/>
      <c r="G23" s="54"/>
      <c r="H23" s="53"/>
      <c r="I23" s="55"/>
      <c r="J23" s="56"/>
      <c r="K23" s="50"/>
      <c r="L23" s="50"/>
      <c r="M23" s="50"/>
      <c r="N23" s="42"/>
    </row>
    <row r="24" spans="1:14">
      <c r="A24" s="115"/>
      <c r="B24" s="8"/>
      <c r="C24" s="116"/>
      <c r="D24" s="19"/>
      <c r="E24" s="53"/>
      <c r="F24" s="54"/>
      <c r="G24" s="54"/>
      <c r="H24" s="53"/>
      <c r="I24" s="55"/>
      <c r="J24" s="56"/>
      <c r="K24" s="50"/>
      <c r="L24" s="50"/>
      <c r="M24" s="50"/>
      <c r="N24" s="42"/>
    </row>
    <row r="25" spans="1:14">
      <c r="A25" s="115"/>
      <c r="B25" s="8"/>
      <c r="C25" s="72"/>
      <c r="D25" s="19"/>
      <c r="E25" s="53"/>
      <c r="F25" s="54"/>
      <c r="G25" s="54"/>
      <c r="H25" s="53"/>
      <c r="I25" s="55"/>
      <c r="J25" s="56"/>
      <c r="K25" s="50"/>
      <c r="L25" s="50"/>
      <c r="M25" s="50"/>
      <c r="N25" s="42"/>
    </row>
    <row r="26" spans="1:14">
      <c r="A26" s="115"/>
      <c r="B26" s="8"/>
      <c r="C26" s="72"/>
      <c r="D26" s="19"/>
      <c r="E26" s="53"/>
      <c r="F26" s="54"/>
      <c r="G26" s="54"/>
      <c r="H26" s="53"/>
      <c r="I26" s="55"/>
      <c r="J26" s="56"/>
      <c r="K26" s="50"/>
      <c r="L26" s="50"/>
      <c r="M26" s="50"/>
      <c r="N26" s="42"/>
    </row>
    <row r="27" spans="1:14">
      <c r="A27" s="1"/>
      <c r="B27" s="62"/>
      <c r="C27" s="117"/>
      <c r="D27" s="19"/>
      <c r="E27" s="53"/>
      <c r="F27" s="54"/>
      <c r="G27" s="54"/>
      <c r="H27" s="58"/>
      <c r="I27" s="55"/>
      <c r="J27" s="56"/>
      <c r="K27" s="50"/>
      <c r="L27" s="50"/>
      <c r="M27" s="50"/>
      <c r="N27" s="42"/>
    </row>
    <row r="28" spans="1:14">
      <c r="A28" s="115"/>
      <c r="B28" s="52"/>
      <c r="C28" s="118"/>
      <c r="D28" s="19"/>
      <c r="E28" s="53"/>
      <c r="F28" s="54"/>
      <c r="G28" s="54"/>
      <c r="H28" s="58"/>
      <c r="I28" s="55"/>
      <c r="J28" s="56"/>
      <c r="K28" s="50"/>
      <c r="L28" s="50"/>
      <c r="M28" s="50"/>
      <c r="N28" s="42"/>
    </row>
    <row r="29" spans="1:14">
      <c r="A29" s="115"/>
      <c r="B29" s="52"/>
      <c r="C29" s="118"/>
      <c r="D29" s="19"/>
      <c r="E29" s="53"/>
      <c r="F29" s="54"/>
      <c r="G29" s="54"/>
      <c r="H29" s="53"/>
      <c r="I29" s="55"/>
      <c r="J29" s="56"/>
      <c r="K29" s="50"/>
      <c r="L29" s="50"/>
      <c r="M29" s="50"/>
      <c r="N29" s="42"/>
    </row>
    <row r="30" spans="1:14">
      <c r="A30" s="115"/>
      <c r="B30" s="52"/>
      <c r="C30" s="116"/>
      <c r="D30" s="19"/>
      <c r="E30" s="53"/>
      <c r="F30" s="54"/>
      <c r="G30" s="54"/>
      <c r="H30" s="53"/>
      <c r="I30" s="55"/>
      <c r="J30" s="13"/>
      <c r="K30" s="12"/>
      <c r="L30" s="12"/>
      <c r="M30" s="50"/>
      <c r="N30" s="42"/>
    </row>
    <row r="31" spans="1:14">
      <c r="A31" s="115"/>
      <c r="B31" s="52"/>
      <c r="C31" s="53"/>
      <c r="D31" s="19"/>
      <c r="E31" s="53"/>
      <c r="F31" s="54"/>
      <c r="G31" s="54"/>
      <c r="H31" s="53"/>
      <c r="I31" s="55"/>
      <c r="J31" s="13"/>
      <c r="K31" s="12"/>
      <c r="L31" s="12"/>
      <c r="M31" s="50"/>
      <c r="N31" s="42"/>
    </row>
    <row r="32" spans="1:14">
      <c r="A32" s="115"/>
      <c r="B32" s="52"/>
      <c r="C32" s="53"/>
      <c r="D32" s="19"/>
      <c r="E32" s="53"/>
      <c r="F32" s="54"/>
      <c r="G32" s="54"/>
      <c r="H32" s="58"/>
      <c r="I32" s="55"/>
      <c r="J32" s="13"/>
      <c r="K32" s="12"/>
      <c r="L32" s="12"/>
      <c r="M32" s="50"/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14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50"/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291"/>
      <c r="K37" s="292"/>
      <c r="L37" s="292"/>
      <c r="M37" s="293"/>
      <c r="N37" s="215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94"/>
      <c r="K38" s="295"/>
      <c r="L38" s="295"/>
      <c r="M38" s="295"/>
      <c r="N38" s="296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290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SUM(M2:M37)</f>
        <v>4152</v>
      </c>
      <c r="N40" s="26">
        <f>SUM(N2:N37)</f>
        <v>240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autoFilter ref="B1:B134" xr:uid="{401A0D5D-EBFF-4552-A124-8A04DBBF384A}"/>
  <sortState xmlns:xlrd2="http://schemas.microsoft.com/office/spreadsheetml/2017/richdata2" ref="A2:M134">
    <sortCondition ref="B2:B134"/>
  </sortState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F6D3-0BDC-4440-8D81-0CDC9974FFEB}">
  <dimension ref="A1:N134"/>
  <sheetViews>
    <sheetView topLeftCell="C1" zoomScale="80" zoomScaleNormal="80" workbookViewId="0">
      <selection activeCell="D10" sqref="D10"/>
    </sheetView>
  </sheetViews>
  <sheetFormatPr defaultColWidth="8.75" defaultRowHeight="15"/>
  <cols>
    <col min="1" max="1" width="10.75" style="29" customWidth="1"/>
    <col min="2" max="2" width="13.5" bestFit="1" customWidth="1"/>
    <col min="3" max="3" width="61.25" customWidth="1"/>
    <col min="4" max="4" width="25.25" customWidth="1"/>
    <col min="5" max="7" width="9" bestFit="1" customWidth="1"/>
    <col min="8" max="8" width="11.5" bestFit="1" customWidth="1"/>
    <col min="9" max="9" width="11" customWidth="1"/>
    <col min="10" max="10" width="34.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1" customFormat="1" ht="17.25" customHeight="1">
      <c r="A2" s="199">
        <v>544164</v>
      </c>
      <c r="B2" s="225">
        <v>0.18055555555555555</v>
      </c>
      <c r="C2" s="92" t="s">
        <v>55</v>
      </c>
      <c r="D2" s="164" t="s">
        <v>42</v>
      </c>
      <c r="E2" s="157" t="s">
        <v>34</v>
      </c>
      <c r="F2" s="413">
        <v>0.19166666666666668</v>
      </c>
      <c r="G2" s="112">
        <v>0.21388888888888888</v>
      </c>
      <c r="H2" s="92"/>
      <c r="I2" s="113"/>
      <c r="J2" s="160" t="s">
        <v>56</v>
      </c>
      <c r="K2" s="212">
        <v>95</v>
      </c>
      <c r="L2" s="42">
        <v>400</v>
      </c>
      <c r="M2" s="42">
        <f t="shared" ref="M2:M35" si="0">SUM(K2:L2)</f>
        <v>495</v>
      </c>
      <c r="N2" s="42">
        <v>30</v>
      </c>
    </row>
    <row r="3" spans="1:14" s="111" customFormat="1" ht="17.25" customHeight="1">
      <c r="A3" s="199">
        <v>544282</v>
      </c>
      <c r="B3" s="225">
        <v>0.20833333333333334</v>
      </c>
      <c r="C3" s="92" t="s">
        <v>48</v>
      </c>
      <c r="D3" s="7" t="s">
        <v>57</v>
      </c>
      <c r="E3" s="157" t="s">
        <v>34</v>
      </c>
      <c r="F3" s="112">
        <v>0.20902777777777778</v>
      </c>
      <c r="G3" s="112">
        <v>0.22847222222222222</v>
      </c>
      <c r="H3" s="39"/>
      <c r="I3" s="41"/>
      <c r="J3" s="41" t="s">
        <v>35</v>
      </c>
      <c r="K3" s="212">
        <v>60</v>
      </c>
      <c r="L3" s="42">
        <v>400</v>
      </c>
      <c r="M3" s="42">
        <f t="shared" si="0"/>
        <v>460</v>
      </c>
      <c r="N3" s="42">
        <v>30</v>
      </c>
    </row>
    <row r="4" spans="1:14" s="111" customFormat="1" ht="17.25" customHeight="1">
      <c r="A4" s="199">
        <v>544283</v>
      </c>
      <c r="B4" s="225">
        <v>0.30208333333333331</v>
      </c>
      <c r="C4" s="92" t="s">
        <v>48</v>
      </c>
      <c r="D4" s="7" t="s">
        <v>58</v>
      </c>
      <c r="E4" s="157" t="s">
        <v>34</v>
      </c>
      <c r="F4" s="112">
        <v>0.30555555555555558</v>
      </c>
      <c r="G4" s="112">
        <v>0.3263888888888889</v>
      </c>
      <c r="H4" s="39"/>
      <c r="I4" s="41"/>
      <c r="J4" s="41"/>
      <c r="K4" s="212"/>
      <c r="L4" s="42">
        <v>400</v>
      </c>
      <c r="M4" s="42">
        <f t="shared" si="0"/>
        <v>400</v>
      </c>
      <c r="N4" s="42">
        <v>30</v>
      </c>
    </row>
    <row r="5" spans="1:14" s="111" customFormat="1" ht="17.25" customHeight="1">
      <c r="A5" s="162" t="s">
        <v>59</v>
      </c>
      <c r="B5" s="119">
        <v>0.29166666666666669</v>
      </c>
      <c r="C5" s="92" t="s">
        <v>60</v>
      </c>
      <c r="D5" s="7" t="s">
        <v>61</v>
      </c>
      <c r="E5" s="157" t="s">
        <v>34</v>
      </c>
      <c r="F5" s="112">
        <v>0.31597222222222221</v>
      </c>
      <c r="G5" s="112">
        <v>0.33888888888888891</v>
      </c>
      <c r="H5" s="39"/>
      <c r="I5" s="41"/>
      <c r="J5" s="41" t="s">
        <v>62</v>
      </c>
      <c r="K5" s="212">
        <v>35</v>
      </c>
      <c r="L5" s="42">
        <v>400</v>
      </c>
      <c r="M5" s="42">
        <f t="shared" si="0"/>
        <v>435</v>
      </c>
      <c r="N5" s="42">
        <v>30</v>
      </c>
    </row>
    <row r="6" spans="1:14">
      <c r="A6" s="162" t="s">
        <v>63</v>
      </c>
      <c r="B6" s="119">
        <v>0.75</v>
      </c>
      <c r="C6" s="92" t="s">
        <v>64</v>
      </c>
      <c r="D6" s="7" t="s">
        <v>65</v>
      </c>
      <c r="E6" s="157" t="s">
        <v>34</v>
      </c>
      <c r="F6" s="112">
        <v>0.77430555555555558</v>
      </c>
      <c r="G6" s="112">
        <v>0.79513888888888884</v>
      </c>
      <c r="H6" s="39"/>
      <c r="I6" s="41"/>
      <c r="J6" s="41" t="s">
        <v>66</v>
      </c>
      <c r="K6" s="184">
        <v>35</v>
      </c>
      <c r="L6" s="42">
        <v>400</v>
      </c>
      <c r="M6" s="42">
        <f t="shared" si="0"/>
        <v>435</v>
      </c>
      <c r="N6" s="42">
        <v>30</v>
      </c>
    </row>
    <row r="7" spans="1:14">
      <c r="A7" s="162" t="s">
        <v>67</v>
      </c>
      <c r="B7" s="119">
        <v>0.61111111111111116</v>
      </c>
      <c r="C7" s="92" t="s">
        <v>68</v>
      </c>
      <c r="D7" s="39" t="s">
        <v>51</v>
      </c>
      <c r="E7" s="157" t="s">
        <v>34</v>
      </c>
      <c r="F7" s="112">
        <v>0.65</v>
      </c>
      <c r="G7" s="112">
        <v>0.67361111111111116</v>
      </c>
      <c r="H7" s="39"/>
      <c r="I7" s="41"/>
      <c r="J7" s="41" t="s">
        <v>66</v>
      </c>
      <c r="K7" s="184">
        <v>35</v>
      </c>
      <c r="L7" s="42">
        <v>400</v>
      </c>
      <c r="M7" s="42">
        <f t="shared" si="0"/>
        <v>435</v>
      </c>
      <c r="N7" s="42">
        <v>30</v>
      </c>
    </row>
    <row r="8" spans="1:14">
      <c r="A8" s="162" t="s">
        <v>67</v>
      </c>
      <c r="B8" s="119">
        <v>0.61111111111111116</v>
      </c>
      <c r="C8" s="92" t="s">
        <v>68</v>
      </c>
      <c r="D8" s="39" t="s">
        <v>69</v>
      </c>
      <c r="E8" s="157" t="s">
        <v>34</v>
      </c>
      <c r="F8" s="112">
        <v>0.65</v>
      </c>
      <c r="G8" s="112">
        <v>0.67361111111111116</v>
      </c>
      <c r="H8" s="39"/>
      <c r="I8" s="41"/>
      <c r="J8" s="41" t="s">
        <v>66</v>
      </c>
      <c r="K8" s="184">
        <v>35</v>
      </c>
      <c r="L8" s="42">
        <v>400</v>
      </c>
      <c r="M8" s="42">
        <f t="shared" ref="M8" si="1">SUM(K8:L8)</f>
        <v>435</v>
      </c>
      <c r="N8" s="42">
        <v>30</v>
      </c>
    </row>
    <row r="9" spans="1:14" ht="17.25" customHeight="1">
      <c r="A9" s="45" t="s">
        <v>70</v>
      </c>
      <c r="B9" s="46">
        <v>0.77777777777777779</v>
      </c>
      <c r="C9" s="39" t="s">
        <v>48</v>
      </c>
      <c r="D9" s="100" t="s">
        <v>51</v>
      </c>
      <c r="E9" s="92" t="s">
        <v>34</v>
      </c>
      <c r="F9" s="40">
        <v>0.78125</v>
      </c>
      <c r="G9" s="40">
        <v>0.80208333333333337</v>
      </c>
      <c r="H9" s="39"/>
      <c r="I9" s="41"/>
      <c r="J9" s="41"/>
      <c r="K9" s="184"/>
      <c r="L9" s="42">
        <v>400</v>
      </c>
      <c r="M9" s="42">
        <f t="shared" si="0"/>
        <v>400</v>
      </c>
      <c r="N9" s="42">
        <v>30</v>
      </c>
    </row>
    <row r="10" spans="1:14" ht="17.25" customHeight="1">
      <c r="A10" s="90" t="s">
        <v>71</v>
      </c>
      <c r="B10" s="48">
        <v>0.77083333333333337</v>
      </c>
      <c r="C10" s="100" t="s">
        <v>72</v>
      </c>
      <c r="D10" s="120" t="s">
        <v>33</v>
      </c>
      <c r="E10" s="39" t="s">
        <v>34</v>
      </c>
      <c r="F10" s="40">
        <v>0.82430555555555551</v>
      </c>
      <c r="G10" s="40">
        <v>0.84930555555555554</v>
      </c>
      <c r="H10" s="49"/>
      <c r="I10" s="41"/>
      <c r="J10" s="43" t="s">
        <v>73</v>
      </c>
      <c r="K10" s="42">
        <v>64</v>
      </c>
      <c r="L10" s="42">
        <v>400</v>
      </c>
      <c r="M10" s="42">
        <f t="shared" si="0"/>
        <v>464</v>
      </c>
      <c r="N10" s="42">
        <v>30</v>
      </c>
    </row>
    <row r="11" spans="1:14" ht="17.25" customHeight="1">
      <c r="A11" s="90" t="s">
        <v>74</v>
      </c>
      <c r="B11" s="48">
        <v>0.875</v>
      </c>
      <c r="C11" s="100" t="s">
        <v>75</v>
      </c>
      <c r="D11" s="7" t="s">
        <v>51</v>
      </c>
      <c r="E11" s="39" t="s">
        <v>34</v>
      </c>
      <c r="F11" s="40">
        <v>0.875</v>
      </c>
      <c r="G11" s="40">
        <v>0.89583333333333337</v>
      </c>
      <c r="H11" s="39"/>
      <c r="I11" s="41"/>
      <c r="J11" s="43"/>
      <c r="K11" s="42"/>
      <c r="L11" s="42">
        <v>400</v>
      </c>
      <c r="M11" s="42">
        <f t="shared" si="0"/>
        <v>400</v>
      </c>
      <c r="N11" s="42">
        <v>30</v>
      </c>
    </row>
    <row r="12" spans="1:14" ht="17.25" customHeight="1">
      <c r="A12" s="90" t="s">
        <v>76</v>
      </c>
      <c r="B12" s="48">
        <v>0.92361111111111116</v>
      </c>
      <c r="C12" s="100" t="s">
        <v>75</v>
      </c>
      <c r="D12" s="7" t="s">
        <v>33</v>
      </c>
      <c r="E12" s="39" t="s">
        <v>34</v>
      </c>
      <c r="F12" s="40">
        <v>0.92361111111111116</v>
      </c>
      <c r="G12" s="40">
        <v>0.94444444444444442</v>
      </c>
      <c r="H12" s="39"/>
      <c r="I12" s="41"/>
      <c r="J12" s="43"/>
      <c r="K12" s="42"/>
      <c r="L12" s="42">
        <v>400</v>
      </c>
      <c r="M12" s="42">
        <f t="shared" si="0"/>
        <v>400</v>
      </c>
      <c r="N12" s="42">
        <v>30</v>
      </c>
    </row>
    <row r="13" spans="1:14" ht="17.25" customHeight="1">
      <c r="A13" s="47"/>
      <c r="B13" s="48"/>
      <c r="C13" s="39"/>
      <c r="D13" s="7"/>
      <c r="E13" s="39"/>
      <c r="F13" s="40"/>
      <c r="G13" s="40"/>
      <c r="H13" s="39"/>
      <c r="I13" s="41"/>
      <c r="J13" s="43"/>
      <c r="K13" s="42"/>
      <c r="L13" s="42"/>
      <c r="M13" s="42">
        <f t="shared" si="0"/>
        <v>0</v>
      </c>
      <c r="N13" s="42"/>
    </row>
    <row r="14" spans="1:14" ht="17.25" customHeight="1">
      <c r="A14" s="47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2"/>
      <c r="M14" s="42">
        <f t="shared" si="0"/>
        <v>0</v>
      </c>
      <c r="N14" s="42"/>
    </row>
    <row r="15" spans="1:14" ht="17.25" customHeight="1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2"/>
      <c r="M15" s="42">
        <f t="shared" si="0"/>
        <v>0</v>
      </c>
      <c r="N15" s="42"/>
    </row>
    <row r="16" spans="1:14" ht="17.25" customHeight="1">
      <c r="A16" s="45"/>
      <c r="B16" s="46"/>
      <c r="C16" s="39"/>
      <c r="D16" s="60"/>
      <c r="E16" s="39"/>
      <c r="F16" s="40"/>
      <c r="G16" s="40"/>
      <c r="H16" s="39"/>
      <c r="I16" s="41"/>
      <c r="J16" s="43"/>
      <c r="K16" s="42"/>
      <c r="L16" s="42"/>
      <c r="M16" s="42">
        <f t="shared" si="0"/>
        <v>0</v>
      </c>
      <c r="N16" s="42"/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42">
        <f t="shared" si="0"/>
        <v>0</v>
      </c>
      <c r="N17" s="42"/>
    </row>
    <row r="18" spans="1:14" ht="17.25" customHeight="1">
      <c r="A18" s="51"/>
      <c r="B18" s="62"/>
      <c r="C18" s="53"/>
      <c r="D18" s="53"/>
      <c r="E18" s="53"/>
      <c r="F18" s="61"/>
      <c r="G18" s="61"/>
      <c r="H18" s="53"/>
      <c r="I18" s="55"/>
      <c r="J18" s="56"/>
      <c r="K18" s="50"/>
      <c r="L18" s="50"/>
      <c r="M18" s="42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42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42">
        <f t="shared" si="0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42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42">
        <f t="shared" si="0"/>
        <v>0</v>
      </c>
      <c r="N22" s="42"/>
    </row>
    <row r="23" spans="1:14" ht="17.25" customHeight="1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42">
        <f t="shared" si="0"/>
        <v>0</v>
      </c>
      <c r="N23" s="42"/>
    </row>
    <row r="24" spans="1:14" ht="17.25" customHeight="1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42">
        <f t="shared" si="0"/>
        <v>0</v>
      </c>
      <c r="N24" s="42"/>
    </row>
    <row r="25" spans="1:14" ht="17.25" customHeight="1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42">
        <f t="shared" si="0"/>
        <v>0</v>
      </c>
      <c r="N25" s="42"/>
    </row>
    <row r="26" spans="1:14" ht="17.25" customHeight="1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42">
        <f t="shared" si="0"/>
        <v>0</v>
      </c>
      <c r="N26" s="42"/>
    </row>
    <row r="27" spans="1:14" ht="17.25" customHeight="1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42">
        <f t="shared" si="0"/>
        <v>0</v>
      </c>
      <c r="N27" s="42"/>
    </row>
    <row r="28" spans="1:14" ht="17.25" customHeight="1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42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42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42">
        <f t="shared" si="0"/>
        <v>0</v>
      </c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42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42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42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42">
        <f t="shared" si="0"/>
        <v>0</v>
      </c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42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50"/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50"/>
      <c r="N38" s="42"/>
    </row>
    <row r="39" spans="1:14">
      <c r="A39" s="51"/>
      <c r="B39" s="62"/>
      <c r="C39" s="53"/>
      <c r="D39" s="36"/>
      <c r="E39" s="53"/>
      <c r="F39" s="62"/>
      <c r="G39" s="62"/>
      <c r="H39" s="53"/>
      <c r="I39" s="55"/>
      <c r="J39" s="56"/>
      <c r="K39" s="50"/>
      <c r="L39" s="50"/>
      <c r="M39" s="50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4759</v>
      </c>
      <c r="N40" s="26">
        <f>SUM(N2:N39)</f>
        <v>330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95CA-6941-43D4-A26A-E10542DFABD6}">
  <dimension ref="A1:P134"/>
  <sheetViews>
    <sheetView zoomScale="90" zoomScaleNormal="90" workbookViewId="0">
      <selection activeCell="D6" sqref="D6"/>
    </sheetView>
  </sheetViews>
  <sheetFormatPr defaultColWidth="8.75" defaultRowHeight="15"/>
  <cols>
    <col min="1" max="1" width="11.5" style="29" customWidth="1"/>
    <col min="3" max="3" width="60.25" customWidth="1"/>
    <col min="4" max="4" width="30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77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31" customFormat="1" ht="17.25" customHeight="1">
      <c r="A2" s="162" t="s">
        <v>78</v>
      </c>
      <c r="B2" s="119">
        <v>0.61111111111111116</v>
      </c>
      <c r="C2" s="199" t="s">
        <v>79</v>
      </c>
      <c r="D2" s="39" t="s">
        <v>51</v>
      </c>
      <c r="E2" s="157" t="s">
        <v>34</v>
      </c>
      <c r="F2" s="112">
        <v>0.65138888888888891</v>
      </c>
      <c r="G2" s="112">
        <v>0.67222222222222228</v>
      </c>
      <c r="H2" s="92"/>
      <c r="I2" s="113"/>
      <c r="J2" s="43"/>
      <c r="K2" s="42"/>
      <c r="L2" s="44">
        <v>400</v>
      </c>
      <c r="M2" s="42">
        <f t="shared" ref="M2:M11" si="0">SUM(K2:L2)</f>
        <v>400</v>
      </c>
      <c r="N2" s="42">
        <v>30</v>
      </c>
      <c r="O2" s="143"/>
      <c r="P2" s="252"/>
    </row>
    <row r="3" spans="1:16" s="131" customFormat="1" ht="17.25" customHeight="1">
      <c r="A3" s="162" t="s">
        <v>80</v>
      </c>
      <c r="B3" s="119">
        <v>0.78125</v>
      </c>
      <c r="C3" s="199" t="s">
        <v>81</v>
      </c>
      <c r="D3" s="120" t="s">
        <v>33</v>
      </c>
      <c r="E3" s="157" t="s">
        <v>34</v>
      </c>
      <c r="F3" s="112">
        <v>0.79166666666666663</v>
      </c>
      <c r="G3" s="112">
        <v>0.8125</v>
      </c>
      <c r="H3" s="92"/>
      <c r="I3" s="113"/>
      <c r="J3" s="43" t="s">
        <v>66</v>
      </c>
      <c r="K3" s="42">
        <v>35</v>
      </c>
      <c r="L3" s="44">
        <v>400</v>
      </c>
      <c r="M3" s="42">
        <f t="shared" si="0"/>
        <v>435</v>
      </c>
      <c r="N3" s="42">
        <v>30</v>
      </c>
      <c r="O3" s="143"/>
      <c r="P3" s="252"/>
    </row>
    <row r="4" spans="1:16" s="131" customFormat="1" ht="17.25" customHeight="1">
      <c r="A4" s="162" t="s">
        <v>82</v>
      </c>
      <c r="B4" s="119">
        <v>0.85069444444444442</v>
      </c>
      <c r="C4" s="157" t="s">
        <v>83</v>
      </c>
      <c r="D4" s="100" t="s">
        <v>33</v>
      </c>
      <c r="E4" s="157" t="s">
        <v>34</v>
      </c>
      <c r="F4" s="112">
        <v>0.91666666666666663</v>
      </c>
      <c r="G4" s="112">
        <v>0.9375</v>
      </c>
      <c r="H4" s="92"/>
      <c r="I4" s="113"/>
      <c r="J4" s="43" t="s">
        <v>66</v>
      </c>
      <c r="K4" s="42">
        <v>35</v>
      </c>
      <c r="L4" s="44">
        <v>400</v>
      </c>
      <c r="M4" s="42">
        <f t="shared" si="0"/>
        <v>435</v>
      </c>
      <c r="N4" s="42">
        <v>30</v>
      </c>
      <c r="O4" s="143"/>
      <c r="P4" s="143"/>
    </row>
    <row r="5" spans="1:16" s="131" customFormat="1" ht="17.25" customHeight="1">
      <c r="A5" s="162" t="s">
        <v>82</v>
      </c>
      <c r="B5" s="119">
        <v>0.85069444444444442</v>
      </c>
      <c r="C5" s="157" t="s">
        <v>83</v>
      </c>
      <c r="D5" s="100" t="s">
        <v>84</v>
      </c>
      <c r="E5" s="157" t="s">
        <v>34</v>
      </c>
      <c r="F5" s="112">
        <v>0.91666666666666663</v>
      </c>
      <c r="G5" s="112">
        <v>0.9375</v>
      </c>
      <c r="H5" s="92"/>
      <c r="I5" s="113"/>
      <c r="J5" s="43" t="s">
        <v>66</v>
      </c>
      <c r="K5" s="42">
        <v>35</v>
      </c>
      <c r="L5" s="44">
        <v>400</v>
      </c>
      <c r="M5" s="42">
        <f t="shared" ref="M5:M6" si="1">SUM(K5:L5)</f>
        <v>435</v>
      </c>
      <c r="N5" s="42">
        <v>30</v>
      </c>
      <c r="O5" s="143"/>
      <c r="P5" s="143"/>
    </row>
    <row r="6" spans="1:16" s="131" customFormat="1" ht="17.25" customHeight="1">
      <c r="A6" s="162" t="s">
        <v>82</v>
      </c>
      <c r="B6" s="119">
        <v>0.85069444444444442</v>
      </c>
      <c r="C6" s="157" t="s">
        <v>83</v>
      </c>
      <c r="D6" s="100" t="s">
        <v>85</v>
      </c>
      <c r="E6" s="157" t="s">
        <v>34</v>
      </c>
      <c r="F6" s="112">
        <v>0.91666666666666663</v>
      </c>
      <c r="G6" s="112">
        <v>0.9375</v>
      </c>
      <c r="H6" s="92"/>
      <c r="I6" s="113"/>
      <c r="J6" s="43" t="s">
        <v>66</v>
      </c>
      <c r="K6" s="42">
        <v>35</v>
      </c>
      <c r="L6" s="44">
        <v>400</v>
      </c>
      <c r="M6" s="42">
        <f t="shared" si="1"/>
        <v>435</v>
      </c>
      <c r="N6" s="42">
        <v>30</v>
      </c>
      <c r="O6" s="143"/>
      <c r="P6" s="143"/>
    </row>
    <row r="7" spans="1:16" s="111" customFormat="1" ht="17.25" customHeight="1">
      <c r="A7" s="213"/>
      <c r="B7" s="99"/>
      <c r="C7" s="100"/>
      <c r="D7" s="100"/>
      <c r="E7" s="157"/>
      <c r="F7" s="40"/>
      <c r="G7" s="40"/>
      <c r="H7" s="39"/>
      <c r="I7" s="41"/>
      <c r="J7" s="160"/>
      <c r="K7" s="214"/>
      <c r="L7" s="161"/>
      <c r="M7" s="42">
        <f t="shared" si="0"/>
        <v>0</v>
      </c>
      <c r="N7" s="42">
        <v>30</v>
      </c>
    </row>
    <row r="8" spans="1:16" s="111" customFormat="1" ht="17.25" customHeight="1">
      <c r="A8" s="45"/>
      <c r="B8" s="46"/>
      <c r="C8" s="92"/>
      <c r="D8" s="100"/>
      <c r="E8" s="92"/>
      <c r="F8" s="112"/>
      <c r="G8" s="112"/>
      <c r="H8" s="39"/>
      <c r="I8" s="41"/>
      <c r="J8" s="160"/>
      <c r="K8" s="212"/>
      <c r="L8" s="42"/>
      <c r="M8" s="42">
        <f t="shared" si="0"/>
        <v>0</v>
      </c>
      <c r="N8" s="42">
        <v>30</v>
      </c>
    </row>
    <row r="9" spans="1:16" s="111" customFormat="1" ht="17.25" customHeight="1">
      <c r="A9" s="45"/>
      <c r="B9" s="46"/>
      <c r="C9" s="92"/>
      <c r="D9" s="7"/>
      <c r="E9" s="92"/>
      <c r="F9" s="40"/>
      <c r="G9" s="40"/>
      <c r="H9" s="39"/>
      <c r="I9" s="41"/>
      <c r="J9" s="192"/>
      <c r="K9" s="193"/>
      <c r="L9" s="194"/>
      <c r="M9" s="42">
        <f t="shared" si="0"/>
        <v>0</v>
      </c>
      <c r="N9" s="42">
        <v>30</v>
      </c>
    </row>
    <row r="10" spans="1:16" s="111" customFormat="1" ht="17.25" customHeight="1">
      <c r="A10" s="45"/>
      <c r="B10" s="46"/>
      <c r="C10" s="92"/>
      <c r="D10" s="7"/>
      <c r="E10" s="92"/>
      <c r="F10" s="40"/>
      <c r="G10" s="40"/>
      <c r="H10" s="39"/>
      <c r="I10" s="41"/>
      <c r="J10" s="192"/>
      <c r="K10" s="193"/>
      <c r="L10" s="194"/>
      <c r="M10" s="42">
        <f t="shared" si="0"/>
        <v>0</v>
      </c>
      <c r="N10" s="42">
        <v>30</v>
      </c>
    </row>
    <row r="11" spans="1:16" s="111" customFormat="1" ht="17.25" customHeight="1">
      <c r="A11" s="45"/>
      <c r="B11" s="46"/>
      <c r="C11" s="92"/>
      <c r="D11" s="7"/>
      <c r="E11" s="92"/>
      <c r="F11" s="40"/>
      <c r="G11" s="40"/>
      <c r="H11" s="39"/>
      <c r="I11" s="41"/>
      <c r="J11" s="192"/>
      <c r="K11" s="193"/>
      <c r="L11" s="194"/>
      <c r="M11" s="42">
        <f t="shared" si="0"/>
        <v>0</v>
      </c>
      <c r="N11" s="42">
        <v>30</v>
      </c>
    </row>
    <row r="12" spans="1:16" s="6" customFormat="1" ht="17.25" customHeight="1">
      <c r="A12" s="47"/>
      <c r="B12" s="48"/>
      <c r="C12" s="39"/>
      <c r="D12" s="7"/>
      <c r="E12" s="39"/>
      <c r="F12" s="40"/>
      <c r="G12" s="40"/>
      <c r="H12" s="39"/>
      <c r="I12" s="41"/>
      <c r="J12" s="43"/>
      <c r="K12" s="42"/>
      <c r="L12" s="44"/>
      <c r="M12" s="42"/>
      <c r="N12" s="42"/>
    </row>
    <row r="13" spans="1:16" ht="17.25" customHeight="1">
      <c r="A13" s="90"/>
      <c r="B13" s="48"/>
      <c r="C13" s="39"/>
      <c r="D13" s="7"/>
      <c r="E13" s="39"/>
      <c r="F13" s="40"/>
      <c r="G13" s="40"/>
      <c r="H13" s="39"/>
      <c r="I13" s="41"/>
      <c r="J13" s="43"/>
      <c r="K13" s="42"/>
      <c r="L13" s="44"/>
      <c r="M13" s="42"/>
      <c r="N13" s="42"/>
    </row>
    <row r="14" spans="1:16" ht="17.25" customHeight="1">
      <c r="A14" s="45"/>
      <c r="B14" s="48"/>
      <c r="C14" s="39"/>
      <c r="D14" s="7"/>
      <c r="E14" s="39"/>
      <c r="F14" s="40"/>
      <c r="G14" s="40"/>
      <c r="H14" s="49"/>
      <c r="I14" s="41"/>
      <c r="J14" s="43"/>
      <c r="K14" s="42"/>
      <c r="L14" s="44"/>
      <c r="M14" s="42"/>
      <c r="N14" s="42"/>
    </row>
    <row r="15" spans="1:16" ht="17.25" customHeight="1">
      <c r="A15" s="59"/>
      <c r="B15" s="52"/>
      <c r="C15" s="53"/>
      <c r="D15" s="19"/>
      <c r="E15" s="53"/>
      <c r="F15" s="54"/>
      <c r="G15" s="54"/>
      <c r="H15" s="53"/>
      <c r="I15" s="55"/>
      <c r="J15" s="56"/>
      <c r="K15" s="50"/>
      <c r="L15" s="57"/>
      <c r="M15" s="50"/>
      <c r="N15" s="42"/>
    </row>
    <row r="16" spans="1:16">
      <c r="A16" s="45"/>
      <c r="B16" s="48"/>
      <c r="C16" s="39"/>
      <c r="D16" s="7"/>
      <c r="E16" s="39"/>
      <c r="F16" s="40"/>
      <c r="G16" s="40"/>
      <c r="H16" s="53"/>
      <c r="I16" s="41"/>
      <c r="J16" s="43"/>
      <c r="K16" s="42"/>
      <c r="L16" s="44"/>
      <c r="M16" s="50"/>
      <c r="N16" s="42"/>
    </row>
    <row r="17" spans="1:14">
      <c r="A17" s="45"/>
      <c r="B17" s="46"/>
      <c r="C17" s="39"/>
      <c r="D17" s="60"/>
      <c r="E17" s="39"/>
      <c r="F17" s="40"/>
      <c r="G17" s="40"/>
      <c r="H17" s="53"/>
      <c r="I17" s="41"/>
      <c r="J17" s="43"/>
      <c r="K17" s="42"/>
      <c r="L17" s="44"/>
      <c r="M17" s="50"/>
      <c r="N17" s="42"/>
    </row>
    <row r="18" spans="1:14">
      <c r="A18" s="47"/>
      <c r="B18" s="48"/>
      <c r="C18" s="39"/>
      <c r="D18" s="60"/>
      <c r="E18" s="39"/>
      <c r="F18" s="40"/>
      <c r="G18" s="40"/>
      <c r="H18" s="53"/>
      <c r="I18" s="41"/>
      <c r="J18" s="43"/>
      <c r="K18" s="42"/>
      <c r="L18" s="44"/>
      <c r="M18" s="50"/>
      <c r="N18" s="42"/>
    </row>
    <row r="19" spans="1:14">
      <c r="A19" s="45"/>
      <c r="B19" s="46"/>
      <c r="C19" s="39"/>
      <c r="D19" s="7"/>
      <c r="E19" s="39"/>
      <c r="F19" s="40"/>
      <c r="G19" s="40"/>
      <c r="H19" s="53"/>
      <c r="I19" s="41"/>
      <c r="J19" s="43"/>
      <c r="K19" s="42"/>
      <c r="L19" s="42"/>
      <c r="M19" s="50"/>
      <c r="N19" s="42"/>
    </row>
    <row r="20" spans="1:14">
      <c r="A20" s="1"/>
      <c r="B20" s="8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>
      <c r="A25" s="51"/>
      <c r="B25" s="62"/>
      <c r="C25" s="53"/>
      <c r="D25" s="63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>
      <c r="A26" s="51"/>
      <c r="B26" s="62"/>
      <c r="C26" s="53"/>
      <c r="D26" s="53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>
      <c r="A28" s="51"/>
      <c r="B28" s="62"/>
      <c r="C28" s="53"/>
      <c r="D28" s="64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>
      <c r="A30" s="51"/>
      <c r="B30" s="62"/>
      <c r="C30" s="53"/>
      <c r="D30" s="9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50"/>
      <c r="N31" s="42"/>
    </row>
    <row r="32" spans="1:14">
      <c r="A32" s="51"/>
      <c r="B32" s="62"/>
      <c r="C32" s="53"/>
      <c r="D32" s="36"/>
      <c r="E32" s="53"/>
      <c r="F32" s="61"/>
      <c r="G32" s="61"/>
      <c r="H32" s="53"/>
      <c r="I32" s="55"/>
      <c r="J32" s="56"/>
      <c r="K32" s="50"/>
      <c r="L32" s="50"/>
      <c r="M32" s="50"/>
      <c r="N32" s="42"/>
    </row>
    <row r="33" spans="1:14">
      <c r="A33" s="51"/>
      <c r="B33" s="62"/>
      <c r="C33" s="53"/>
      <c r="D33" s="63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14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14"/>
      <c r="B35" s="15"/>
      <c r="C35" s="10"/>
      <c r="D35" s="16"/>
      <c r="E35" s="10"/>
      <c r="F35" s="61"/>
      <c r="G35" s="61"/>
      <c r="H35" s="10"/>
      <c r="I35" s="11"/>
      <c r="J35" s="13"/>
      <c r="K35" s="12"/>
      <c r="L35" s="12"/>
      <c r="M35" s="50"/>
      <c r="N35" s="42"/>
    </row>
    <row r="36" spans="1:14">
      <c r="A36" s="14"/>
      <c r="B36" s="15"/>
      <c r="C36" s="10"/>
      <c r="D36" s="16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14"/>
      <c r="B37" s="15"/>
      <c r="C37" s="10"/>
      <c r="D37" s="36"/>
      <c r="E37" s="10"/>
      <c r="F37" s="61"/>
      <c r="G37" s="61"/>
      <c r="H37" s="10"/>
      <c r="I37" s="11"/>
      <c r="J37" s="13"/>
      <c r="K37" s="12"/>
      <c r="L37" s="12"/>
      <c r="M37" s="50"/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50"/>
      <c r="N38" s="42"/>
    </row>
    <row r="39" spans="1:14">
      <c r="A39" s="82"/>
      <c r="B39" s="83"/>
      <c r="C39" s="77"/>
      <c r="D39" s="84"/>
      <c r="E39" s="77"/>
      <c r="F39" s="78"/>
      <c r="G39" s="78"/>
      <c r="H39" s="77"/>
      <c r="I39" s="79"/>
      <c r="J39" s="81"/>
      <c r="K39" s="80"/>
      <c r="L39" s="80"/>
      <c r="M39" s="109"/>
      <c r="N39" s="251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SUM(M2:M38)</f>
        <v>2140</v>
      </c>
      <c r="N40" s="26">
        <f>SUM(N2:N38)</f>
        <v>300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18A2-BF54-473F-86C7-85028E6BD515}">
  <dimension ref="A1:N134"/>
  <sheetViews>
    <sheetView topLeftCell="C1" zoomScale="80" zoomScaleNormal="80" workbookViewId="0">
      <selection activeCell="D3" sqref="D3"/>
    </sheetView>
  </sheetViews>
  <sheetFormatPr defaultColWidth="8.75" defaultRowHeight="15"/>
  <cols>
    <col min="1" max="1" width="9.875" style="245" customWidth="1"/>
    <col min="3" max="3" width="60.125" customWidth="1"/>
    <col min="4" max="4" width="27.75" customWidth="1"/>
    <col min="5" max="7" width="9" bestFit="1" customWidth="1"/>
    <col min="8" max="8" width="11.5" bestFit="1" customWidth="1"/>
    <col min="9" max="9" width="9.5" customWidth="1"/>
    <col min="10" max="10" width="48.875" style="31" customWidth="1"/>
    <col min="11" max="12" width="9" style="28" bestFit="1" customWidth="1"/>
    <col min="13" max="13" width="15.125" style="28" customWidth="1"/>
  </cols>
  <sheetData>
    <row r="1" spans="1:14" ht="26.25">
      <c r="A1" s="90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1" customFormat="1" ht="17.25" customHeight="1">
      <c r="A2" s="162" t="s">
        <v>86</v>
      </c>
      <c r="B2" s="119">
        <v>0.28125</v>
      </c>
      <c r="C2" s="199" t="s">
        <v>87</v>
      </c>
      <c r="D2" s="7" t="s">
        <v>88</v>
      </c>
      <c r="E2" s="92" t="s">
        <v>34</v>
      </c>
      <c r="F2" s="112">
        <v>0.29722222222222222</v>
      </c>
      <c r="G2" s="112">
        <v>0.32777777777777778</v>
      </c>
      <c r="H2" s="92"/>
      <c r="I2" s="113"/>
      <c r="J2" s="43" t="s">
        <v>89</v>
      </c>
      <c r="K2" s="215">
        <v>160</v>
      </c>
      <c r="L2" s="42">
        <v>460</v>
      </c>
      <c r="M2" s="50">
        <f t="shared" ref="M2:M10" si="0">SUM(K2:L2)</f>
        <v>620</v>
      </c>
      <c r="N2" s="42">
        <v>30</v>
      </c>
    </row>
    <row r="3" spans="1:14" s="111" customFormat="1" ht="17.25" customHeight="1">
      <c r="A3" s="144" t="s">
        <v>90</v>
      </c>
      <c r="B3" s="46">
        <v>0.37152777777777779</v>
      </c>
      <c r="C3" s="92" t="s">
        <v>64</v>
      </c>
      <c r="D3" s="7" t="s">
        <v>88</v>
      </c>
      <c r="E3" s="102" t="s">
        <v>34</v>
      </c>
      <c r="F3" s="112">
        <v>0.39097222222222222</v>
      </c>
      <c r="G3" s="112">
        <v>0.42291666666666666</v>
      </c>
      <c r="H3" s="39"/>
      <c r="I3" s="41"/>
      <c r="J3" s="160" t="s">
        <v>40</v>
      </c>
      <c r="K3" s="214">
        <v>35</v>
      </c>
      <c r="L3" s="161">
        <v>400</v>
      </c>
      <c r="M3" s="50">
        <f t="shared" si="0"/>
        <v>435</v>
      </c>
      <c r="N3" s="42">
        <v>30</v>
      </c>
    </row>
    <row r="4" spans="1:14" s="111" customFormat="1" ht="17.25" customHeight="1">
      <c r="A4" s="144" t="s">
        <v>91</v>
      </c>
      <c r="B4" s="129">
        <v>0.42708333333333331</v>
      </c>
      <c r="C4" s="92" t="s">
        <v>48</v>
      </c>
      <c r="D4" s="7" t="s">
        <v>51</v>
      </c>
      <c r="E4" s="92" t="s">
        <v>34</v>
      </c>
      <c r="F4" s="112">
        <v>0.42708333333333331</v>
      </c>
      <c r="G4" s="112">
        <v>0.44791666666666669</v>
      </c>
      <c r="H4" s="92"/>
      <c r="I4" s="113"/>
      <c r="J4" s="155"/>
      <c r="K4" s="326"/>
      <c r="L4" s="156">
        <v>400</v>
      </c>
      <c r="M4" s="50">
        <f t="shared" si="0"/>
        <v>400</v>
      </c>
      <c r="N4" s="42">
        <v>30</v>
      </c>
    </row>
    <row r="5" spans="1:14" s="111" customFormat="1" ht="17.25" customHeight="1">
      <c r="A5" s="144" t="s">
        <v>91</v>
      </c>
      <c r="B5" s="129">
        <v>0.42708333333333331</v>
      </c>
      <c r="C5" s="92" t="s">
        <v>48</v>
      </c>
      <c r="D5" s="7" t="s">
        <v>92</v>
      </c>
      <c r="E5" s="92" t="s">
        <v>34</v>
      </c>
      <c r="F5" s="112">
        <v>0.42708333333333331</v>
      </c>
      <c r="G5" s="112">
        <v>0.44791666666666669</v>
      </c>
      <c r="H5" s="92"/>
      <c r="I5" s="113"/>
      <c r="J5" s="155"/>
      <c r="K5" s="326"/>
      <c r="L5" s="156">
        <v>400</v>
      </c>
      <c r="M5" s="50">
        <f t="shared" ref="M5:M6" si="1">SUM(K5:L5)</f>
        <v>400</v>
      </c>
      <c r="N5" s="42">
        <v>30</v>
      </c>
    </row>
    <row r="6" spans="1:14" s="111" customFormat="1" ht="17.25" customHeight="1">
      <c r="A6" s="144" t="s">
        <v>91</v>
      </c>
      <c r="B6" s="129">
        <v>0.42708333333333331</v>
      </c>
      <c r="C6" s="92" t="s">
        <v>48</v>
      </c>
      <c r="D6" s="7" t="s">
        <v>93</v>
      </c>
      <c r="E6" s="92" t="s">
        <v>34</v>
      </c>
      <c r="F6" s="112">
        <v>0.42708333333333331</v>
      </c>
      <c r="G6" s="112">
        <v>0.44791666666666669</v>
      </c>
      <c r="H6" s="92"/>
      <c r="I6" s="113"/>
      <c r="J6" s="155"/>
      <c r="K6" s="326"/>
      <c r="L6" s="156">
        <v>400</v>
      </c>
      <c r="M6" s="50">
        <f t="shared" si="1"/>
        <v>400</v>
      </c>
      <c r="N6" s="42">
        <v>30</v>
      </c>
    </row>
    <row r="7" spans="1:14" s="111" customFormat="1" ht="17.25" customHeight="1">
      <c r="A7" s="90" t="s">
        <v>94</v>
      </c>
      <c r="B7" s="48">
        <v>0.47916666666666669</v>
      </c>
      <c r="C7" s="199" t="s">
        <v>48</v>
      </c>
      <c r="D7" s="7" t="s">
        <v>51</v>
      </c>
      <c r="E7" s="39" t="s">
        <v>34</v>
      </c>
      <c r="F7" s="40">
        <v>0.4826388888888889</v>
      </c>
      <c r="G7" s="40">
        <v>0.50138888888888888</v>
      </c>
      <c r="H7" s="39"/>
      <c r="I7" s="41"/>
      <c r="J7" s="43"/>
      <c r="K7" s="42"/>
      <c r="L7" s="44">
        <v>400</v>
      </c>
      <c r="M7" s="50">
        <f t="shared" si="0"/>
        <v>400</v>
      </c>
      <c r="N7" s="42">
        <v>30</v>
      </c>
    </row>
    <row r="8" spans="1:14" s="111" customFormat="1" ht="17.25" customHeight="1">
      <c r="A8" s="90" t="s">
        <v>95</v>
      </c>
      <c r="B8" s="48">
        <v>0.54861111111111116</v>
      </c>
      <c r="C8" s="199" t="s">
        <v>96</v>
      </c>
      <c r="D8" s="7" t="s">
        <v>51</v>
      </c>
      <c r="E8" s="39" t="s">
        <v>34</v>
      </c>
      <c r="F8" s="40">
        <v>0.53819444444444442</v>
      </c>
      <c r="G8" s="40">
        <v>0.55902777777777779</v>
      </c>
      <c r="H8" s="39"/>
      <c r="I8" s="41"/>
      <c r="J8" s="43"/>
      <c r="K8" s="42"/>
      <c r="L8" s="44">
        <v>400</v>
      </c>
      <c r="M8" s="50">
        <f t="shared" si="0"/>
        <v>400</v>
      </c>
      <c r="N8" s="42">
        <v>30</v>
      </c>
    </row>
    <row r="9" spans="1:14" s="111" customFormat="1" ht="17.25" customHeight="1">
      <c r="A9" s="90" t="s">
        <v>97</v>
      </c>
      <c r="B9" s="48">
        <v>0.86805555555555558</v>
      </c>
      <c r="C9" s="100" t="s">
        <v>98</v>
      </c>
      <c r="D9" s="164" t="s">
        <v>99</v>
      </c>
      <c r="E9" s="39" t="s">
        <v>34</v>
      </c>
      <c r="F9" s="40">
        <v>0.89583333333333337</v>
      </c>
      <c r="G9" s="40">
        <v>0.92361111111111116</v>
      </c>
      <c r="H9" s="39"/>
      <c r="I9" s="41"/>
      <c r="J9" s="43" t="s">
        <v>100</v>
      </c>
      <c r="K9" s="42">
        <v>40</v>
      </c>
      <c r="L9" s="44">
        <v>460</v>
      </c>
      <c r="M9" s="50">
        <f t="shared" si="0"/>
        <v>500</v>
      </c>
      <c r="N9" s="42">
        <v>30</v>
      </c>
    </row>
    <row r="10" spans="1:14" s="111" customFormat="1" ht="17.25" customHeight="1">
      <c r="A10" s="90"/>
      <c r="B10" s="48"/>
      <c r="C10" s="100"/>
      <c r="D10" s="159"/>
      <c r="E10" s="39"/>
      <c r="F10" s="40"/>
      <c r="G10" s="40"/>
      <c r="H10" s="39"/>
      <c r="I10" s="41"/>
      <c r="J10" s="41"/>
      <c r="K10" s="214"/>
      <c r="L10" s="161"/>
      <c r="M10" s="50">
        <f t="shared" si="0"/>
        <v>0</v>
      </c>
      <c r="N10" s="42"/>
    </row>
    <row r="11" spans="1:14" s="111" customFormat="1" ht="17.25" customHeight="1">
      <c r="A11" s="45"/>
      <c r="B11" s="99"/>
      <c r="C11" s="39"/>
      <c r="D11" s="39"/>
      <c r="E11" s="39"/>
      <c r="F11" s="40"/>
      <c r="G11" s="40"/>
      <c r="H11" s="39"/>
      <c r="I11" s="41"/>
      <c r="J11" s="192"/>
      <c r="K11" s="193"/>
      <c r="L11" s="194"/>
      <c r="M11" s="50"/>
      <c r="N11" s="42"/>
    </row>
    <row r="12" spans="1:14" ht="17.25" customHeight="1">
      <c r="A12" s="100"/>
      <c r="B12" s="99"/>
      <c r="C12" s="39"/>
      <c r="D12" s="7"/>
      <c r="E12" s="39"/>
      <c r="F12" s="40"/>
      <c r="G12" s="40"/>
      <c r="H12" s="39"/>
      <c r="I12" s="41"/>
      <c r="J12" s="160"/>
      <c r="K12" s="214"/>
      <c r="L12" s="161"/>
      <c r="M12" s="50"/>
      <c r="N12" s="42"/>
    </row>
    <row r="13" spans="1:14" ht="17.25" customHeight="1">
      <c r="A13" s="45"/>
      <c r="B13" s="48"/>
      <c r="C13" s="39"/>
      <c r="D13" s="7"/>
      <c r="E13" s="39"/>
      <c r="F13" s="40"/>
      <c r="G13" s="40"/>
      <c r="H13" s="49"/>
      <c r="I13" s="41"/>
      <c r="J13" s="43"/>
      <c r="K13" s="42"/>
      <c r="L13" s="44"/>
      <c r="M13" s="50"/>
      <c r="N13" s="42"/>
    </row>
    <row r="14" spans="1:14" ht="17.25" customHeight="1">
      <c r="A14" s="47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50"/>
      <c r="N14" s="42"/>
    </row>
    <row r="15" spans="1:14" ht="17.25" customHeight="1">
      <c r="A15" s="45"/>
      <c r="B15" s="48"/>
      <c r="C15" s="39"/>
      <c r="D15" s="7"/>
      <c r="E15" s="39"/>
      <c r="F15" s="40"/>
      <c r="G15" s="40"/>
      <c r="H15" s="39"/>
      <c r="I15" s="41"/>
      <c r="J15" s="43"/>
      <c r="K15" s="42"/>
      <c r="L15" s="44"/>
      <c r="M15" s="50"/>
      <c r="N15" s="42"/>
    </row>
    <row r="16" spans="1:14" ht="17.25" customHeight="1">
      <c r="A16" s="45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50"/>
      <c r="N16" s="42"/>
    </row>
    <row r="17" spans="1:14" ht="17.25" customHeight="1">
      <c r="A17" s="47"/>
      <c r="B17" s="48"/>
      <c r="C17" s="39"/>
      <c r="D17" s="60"/>
      <c r="E17" s="39"/>
      <c r="F17" s="40"/>
      <c r="G17" s="40"/>
      <c r="H17" s="39"/>
      <c r="I17" s="41"/>
      <c r="J17" s="43"/>
      <c r="K17" s="42"/>
      <c r="L17" s="44"/>
      <c r="M17" s="50"/>
      <c r="N17" s="42"/>
    </row>
    <row r="18" spans="1:14" ht="17.25" customHeight="1">
      <c r="A18" s="45"/>
      <c r="B18" s="46"/>
      <c r="C18" s="39"/>
      <c r="D18" s="7"/>
      <c r="E18" s="39"/>
      <c r="F18" s="40"/>
      <c r="G18" s="40"/>
      <c r="H18" s="39"/>
      <c r="I18" s="41"/>
      <c r="J18" s="43"/>
      <c r="K18" s="42"/>
      <c r="L18" s="42"/>
      <c r="M18" s="50"/>
      <c r="N18" s="42"/>
    </row>
    <row r="19" spans="1:14" ht="17.25" customHeight="1">
      <c r="A19" s="90"/>
      <c r="B19" s="8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50"/>
      <c r="N19" s="42"/>
    </row>
    <row r="20" spans="1:14" ht="17.25" customHeight="1">
      <c r="A20" s="45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 ht="17.25" customHeight="1">
      <c r="A21" s="45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 ht="17.25" customHeight="1">
      <c r="A22" s="45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 ht="17.25" customHeight="1">
      <c r="A23" s="45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 ht="17.25" customHeight="1">
      <c r="A24" s="45"/>
      <c r="B24" s="62"/>
      <c r="C24" s="53"/>
      <c r="D24" s="63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 ht="17.25" customHeight="1">
      <c r="A25" s="45"/>
      <c r="B25" s="62"/>
      <c r="C25" s="53"/>
      <c r="D25" s="53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>
      <c r="A26" s="45"/>
      <c r="B26" s="62"/>
      <c r="C26" s="53"/>
      <c r="D26" s="53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>
      <c r="A27" s="45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>
      <c r="A28" s="45"/>
      <c r="B28" s="62"/>
      <c r="C28" s="53"/>
      <c r="D28" s="64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>
      <c r="A29" s="45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>
      <c r="A30" s="45"/>
      <c r="B30" s="62"/>
      <c r="C30" s="53"/>
      <c r="D30" s="9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>
      <c r="A31" s="45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50"/>
      <c r="N31" s="42"/>
    </row>
    <row r="32" spans="1:14">
      <c r="A32" s="45"/>
      <c r="B32" s="62"/>
      <c r="C32" s="53"/>
      <c r="D32" s="36"/>
      <c r="E32" s="53"/>
      <c r="F32" s="61"/>
      <c r="G32" s="61"/>
      <c r="H32" s="53"/>
      <c r="I32" s="55"/>
      <c r="J32" s="56"/>
      <c r="K32" s="50"/>
      <c r="L32" s="50"/>
      <c r="M32" s="50"/>
      <c r="N32" s="42"/>
    </row>
    <row r="33" spans="1:14">
      <c r="A33" s="45"/>
      <c r="B33" s="62"/>
      <c r="C33" s="53"/>
      <c r="D33" s="63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235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235"/>
      <c r="B35" s="15"/>
      <c r="C35" s="10"/>
      <c r="D35" s="16"/>
      <c r="E35" s="10"/>
      <c r="F35" s="61"/>
      <c r="G35" s="61"/>
      <c r="H35" s="10"/>
      <c r="I35" s="11"/>
      <c r="J35" s="13"/>
      <c r="K35" s="12"/>
      <c r="L35" s="12"/>
      <c r="M35" s="50"/>
      <c r="N35" s="42"/>
    </row>
    <row r="36" spans="1:14">
      <c r="A36" s="235"/>
      <c r="B36" s="15"/>
      <c r="C36" s="10"/>
      <c r="D36" s="16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235"/>
      <c r="B37" s="15"/>
      <c r="C37" s="10"/>
      <c r="D37" s="36"/>
      <c r="E37" s="10"/>
      <c r="F37" s="61"/>
      <c r="G37" s="61"/>
      <c r="H37" s="10"/>
      <c r="I37" s="11"/>
      <c r="J37" s="13"/>
      <c r="K37" s="12"/>
      <c r="L37" s="12"/>
      <c r="M37" s="50"/>
      <c r="N37" s="42"/>
    </row>
    <row r="38" spans="1:14">
      <c r="A38" s="228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50"/>
      <c r="N38" s="42"/>
    </row>
    <row r="39" spans="1:14">
      <c r="A39" s="228"/>
      <c r="B39" s="18"/>
      <c r="C39" s="10"/>
      <c r="D39" s="19"/>
      <c r="E39" s="10"/>
      <c r="F39" s="61"/>
      <c r="G39" s="61"/>
      <c r="H39" s="10"/>
      <c r="I39" s="11"/>
      <c r="J39" s="13"/>
      <c r="K39" s="12"/>
      <c r="L39" s="12"/>
      <c r="M39" s="50"/>
      <c r="N39" s="42"/>
    </row>
    <row r="40" spans="1:14">
      <c r="A40" s="237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3555</v>
      </c>
      <c r="N40" s="26">
        <f>SUM(N2:N39)</f>
        <v>240</v>
      </c>
    </row>
    <row r="41" spans="1:14">
      <c r="A41" s="237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37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autoFilter ref="A1:N39" xr:uid="{47B13AE9-D17D-4609-8470-C95AAF61E645}">
    <sortState xmlns:xlrd2="http://schemas.microsoft.com/office/spreadsheetml/2017/richdata2" ref="A2:N39">
      <sortCondition ref="B1:B39"/>
    </sortState>
  </autoFilter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80DC-0F14-4672-96E0-0D318A3B0BA6}">
  <dimension ref="A1:P125"/>
  <sheetViews>
    <sheetView topLeftCell="C28" workbookViewId="0">
      <selection activeCell="C40" sqref="C40"/>
    </sheetView>
  </sheetViews>
  <sheetFormatPr defaultColWidth="8.75" defaultRowHeight="15"/>
  <cols>
    <col min="1" max="1" width="9" style="29"/>
    <col min="3" max="3" width="61.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6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6" customFormat="1">
      <c r="A2" s="158" t="s">
        <v>101</v>
      </c>
      <c r="B2" s="163">
        <v>8.3333333333333329E-2</v>
      </c>
      <c r="C2" s="164" t="s">
        <v>102</v>
      </c>
      <c r="D2" s="7" t="s">
        <v>33</v>
      </c>
      <c r="E2" s="39" t="s">
        <v>34</v>
      </c>
      <c r="F2" s="40">
        <v>9.7222222222222224E-2</v>
      </c>
      <c r="G2" s="40">
        <v>0.11805555555555555</v>
      </c>
      <c r="H2" s="39"/>
      <c r="I2" s="41"/>
      <c r="J2" s="160" t="s">
        <v>56</v>
      </c>
      <c r="K2" s="42">
        <v>95</v>
      </c>
      <c r="L2" s="44">
        <v>400</v>
      </c>
      <c r="M2" s="50">
        <f t="shared" ref="M2:M28" si="0">SUM(K2:L2)</f>
        <v>495</v>
      </c>
      <c r="N2" s="42">
        <v>30</v>
      </c>
    </row>
    <row r="3" spans="1:16" s="6" customFormat="1">
      <c r="A3" s="158" t="s">
        <v>101</v>
      </c>
      <c r="B3" s="163">
        <v>8.3333333333333329E-2</v>
      </c>
      <c r="C3" s="164" t="s">
        <v>102</v>
      </c>
      <c r="D3" s="7" t="s">
        <v>42</v>
      </c>
      <c r="E3" s="39" t="s">
        <v>34</v>
      </c>
      <c r="F3" s="40">
        <v>9.7222222222222224E-2</v>
      </c>
      <c r="G3" s="40">
        <v>0.11805555555555555</v>
      </c>
      <c r="H3" s="39"/>
      <c r="I3" s="41"/>
      <c r="J3" s="160" t="s">
        <v>56</v>
      </c>
      <c r="K3" s="42">
        <v>95</v>
      </c>
      <c r="L3" s="44">
        <v>400</v>
      </c>
      <c r="M3" s="50">
        <f t="shared" ref="M3" si="1">SUM(K3:L3)</f>
        <v>495</v>
      </c>
      <c r="N3" s="42">
        <v>30</v>
      </c>
    </row>
    <row r="4" spans="1:16" s="6" customFormat="1">
      <c r="A4" s="45" t="s">
        <v>103</v>
      </c>
      <c r="B4" s="46">
        <v>0.26041666666666669</v>
      </c>
      <c r="C4" s="39" t="s">
        <v>104</v>
      </c>
      <c r="D4" s="60" t="s">
        <v>33</v>
      </c>
      <c r="E4" s="39" t="s">
        <v>34</v>
      </c>
      <c r="F4" s="40">
        <v>0.2673611111111111</v>
      </c>
      <c r="G4" s="40">
        <v>0.28819444444444442</v>
      </c>
      <c r="H4" s="39"/>
      <c r="I4" s="41"/>
      <c r="J4" s="160" t="s">
        <v>105</v>
      </c>
      <c r="K4" s="176">
        <v>60</v>
      </c>
      <c r="L4" s="177">
        <v>400</v>
      </c>
      <c r="M4" s="286">
        <f t="shared" si="0"/>
        <v>460</v>
      </c>
      <c r="N4" s="42">
        <v>30</v>
      </c>
    </row>
    <row r="5" spans="1:16" s="6" customFormat="1" ht="15.75">
      <c r="A5" s="45" t="s">
        <v>103</v>
      </c>
      <c r="B5" s="46">
        <v>0.26041666666666669</v>
      </c>
      <c r="C5" s="39" t="s">
        <v>104</v>
      </c>
      <c r="D5" s="60" t="s">
        <v>106</v>
      </c>
      <c r="E5" s="39" t="s">
        <v>107</v>
      </c>
      <c r="F5" s="40"/>
      <c r="G5" s="40"/>
      <c r="H5" s="39"/>
      <c r="I5" s="41"/>
      <c r="J5" s="160" t="s">
        <v>108</v>
      </c>
      <c r="K5" s="176"/>
      <c r="L5" s="177">
        <v>400</v>
      </c>
      <c r="M5" s="286">
        <f t="shared" ref="M5" si="2">SUM(K5:L5)</f>
        <v>400</v>
      </c>
      <c r="N5" s="42">
        <v>0</v>
      </c>
    </row>
    <row r="6" spans="1:16" s="6" customFormat="1">
      <c r="A6" s="45" t="s">
        <v>109</v>
      </c>
      <c r="B6" s="46">
        <v>0.3125</v>
      </c>
      <c r="C6" s="164" t="s">
        <v>104</v>
      </c>
      <c r="D6" s="7" t="s">
        <v>110</v>
      </c>
      <c r="E6" s="39" t="s">
        <v>34</v>
      </c>
      <c r="F6" s="40">
        <v>0.3125</v>
      </c>
      <c r="G6" s="40">
        <v>0.33333333333333331</v>
      </c>
      <c r="H6" s="39"/>
      <c r="I6" s="41"/>
      <c r="J6" s="160"/>
      <c r="K6" s="176"/>
      <c r="L6" s="177">
        <v>400</v>
      </c>
      <c r="M6" s="50">
        <f t="shared" si="0"/>
        <v>400</v>
      </c>
      <c r="N6" s="42">
        <v>30</v>
      </c>
    </row>
    <row r="7" spans="1:16" s="6" customFormat="1">
      <c r="A7" s="158" t="s">
        <v>111</v>
      </c>
      <c r="B7" s="173">
        <v>0.33680555555555558</v>
      </c>
      <c r="C7" s="166" t="s">
        <v>48</v>
      </c>
      <c r="D7" s="159" t="s">
        <v>112</v>
      </c>
      <c r="E7" s="164" t="s">
        <v>34</v>
      </c>
      <c r="F7" s="165">
        <v>0.33680555555555558</v>
      </c>
      <c r="G7" s="165">
        <v>0.3576388888888889</v>
      </c>
      <c r="H7" s="164"/>
      <c r="I7" s="160"/>
      <c r="J7" s="160"/>
      <c r="K7" s="156"/>
      <c r="L7" s="161">
        <v>400</v>
      </c>
      <c r="M7" s="286">
        <f t="shared" si="0"/>
        <v>400</v>
      </c>
      <c r="N7" s="42">
        <v>30</v>
      </c>
    </row>
    <row r="8" spans="1:16" s="6" customFormat="1">
      <c r="A8" s="158" t="s">
        <v>111</v>
      </c>
      <c r="B8" s="173">
        <v>0.33680555555555558</v>
      </c>
      <c r="C8" s="166" t="s">
        <v>48</v>
      </c>
      <c r="D8" s="159" t="s">
        <v>113</v>
      </c>
      <c r="E8" s="164" t="s">
        <v>34</v>
      </c>
      <c r="F8" s="165">
        <v>0.33680555555555558</v>
      </c>
      <c r="G8" s="165">
        <v>0.3576388888888889</v>
      </c>
      <c r="H8" s="164"/>
      <c r="I8" s="160"/>
      <c r="J8" s="160"/>
      <c r="K8" s="156"/>
      <c r="L8" s="161">
        <v>400</v>
      </c>
      <c r="M8" s="286">
        <f t="shared" ref="M8" si="3">SUM(K8:L8)</f>
        <v>400</v>
      </c>
      <c r="N8" s="42">
        <v>30</v>
      </c>
    </row>
    <row r="9" spans="1:16">
      <c r="A9" s="45" t="s">
        <v>114</v>
      </c>
      <c r="B9" s="46">
        <v>0.3125</v>
      </c>
      <c r="C9" s="157" t="s">
        <v>115</v>
      </c>
      <c r="D9" s="7" t="s">
        <v>33</v>
      </c>
      <c r="E9" s="39" t="s">
        <v>34</v>
      </c>
      <c r="F9" s="40">
        <v>0.34375</v>
      </c>
      <c r="G9" s="40">
        <v>0.36458333333333331</v>
      </c>
      <c r="H9" s="39"/>
      <c r="I9" s="41"/>
      <c r="J9" s="43" t="s">
        <v>40</v>
      </c>
      <c r="K9" s="42">
        <v>35</v>
      </c>
      <c r="L9" s="42">
        <v>400</v>
      </c>
      <c r="M9" s="50">
        <f t="shared" si="0"/>
        <v>435</v>
      </c>
      <c r="N9" s="42">
        <v>30</v>
      </c>
    </row>
    <row r="10" spans="1:16">
      <c r="A10" s="45" t="s">
        <v>114</v>
      </c>
      <c r="B10" s="46">
        <v>0.3125</v>
      </c>
      <c r="C10" s="157" t="s">
        <v>115</v>
      </c>
      <c r="D10" s="7" t="s">
        <v>42</v>
      </c>
      <c r="E10" s="39" t="s">
        <v>34</v>
      </c>
      <c r="F10" s="40">
        <v>0.34375</v>
      </c>
      <c r="G10" s="40">
        <v>0.36458333333333331</v>
      </c>
      <c r="H10" s="39"/>
      <c r="I10" s="41"/>
      <c r="J10" s="43" t="s">
        <v>40</v>
      </c>
      <c r="K10" s="42">
        <v>35</v>
      </c>
      <c r="L10" s="42">
        <v>400</v>
      </c>
      <c r="M10" s="50">
        <f t="shared" ref="M10" si="4">SUM(K10:L10)</f>
        <v>435</v>
      </c>
      <c r="N10" s="42">
        <v>30</v>
      </c>
    </row>
    <row r="11" spans="1:16">
      <c r="A11" s="47" t="s">
        <v>116</v>
      </c>
      <c r="B11" s="48">
        <v>0.34375</v>
      </c>
      <c r="C11" s="92" t="s">
        <v>104</v>
      </c>
      <c r="D11" s="7" t="s">
        <v>51</v>
      </c>
      <c r="E11" s="39" t="s">
        <v>34</v>
      </c>
      <c r="F11" s="40">
        <v>0.34375</v>
      </c>
      <c r="G11" s="40">
        <v>0.36458333333333331</v>
      </c>
      <c r="H11" s="39"/>
      <c r="I11" s="41"/>
      <c r="J11" s="43"/>
      <c r="K11" s="42"/>
      <c r="L11" s="42">
        <v>400</v>
      </c>
      <c r="M11" s="50">
        <f t="shared" si="0"/>
        <v>400</v>
      </c>
      <c r="N11" s="42">
        <v>30</v>
      </c>
    </row>
    <row r="12" spans="1:16">
      <c r="A12" s="47" t="s">
        <v>116</v>
      </c>
      <c r="B12" s="48">
        <v>0.34375</v>
      </c>
      <c r="C12" s="92" t="s">
        <v>104</v>
      </c>
      <c r="D12" s="7" t="s">
        <v>117</v>
      </c>
      <c r="E12" s="39" t="s">
        <v>34</v>
      </c>
      <c r="F12" s="40">
        <v>0.34375</v>
      </c>
      <c r="G12" s="40">
        <v>0.36458333333333331</v>
      </c>
      <c r="H12" s="39"/>
      <c r="I12" s="41"/>
      <c r="J12" s="43"/>
      <c r="K12" s="42"/>
      <c r="L12" s="42">
        <v>400</v>
      </c>
      <c r="M12" s="50">
        <f t="shared" ref="M12" si="5">SUM(K12:L12)</f>
        <v>400</v>
      </c>
      <c r="N12" s="42">
        <v>30</v>
      </c>
    </row>
    <row r="13" spans="1:16">
      <c r="A13" s="45" t="s">
        <v>118</v>
      </c>
      <c r="B13" s="46">
        <v>0.375</v>
      </c>
      <c r="C13" s="157" t="s">
        <v>104</v>
      </c>
      <c r="D13" s="95" t="s">
        <v>33</v>
      </c>
      <c r="E13" s="198" t="s">
        <v>34</v>
      </c>
      <c r="F13" s="40">
        <v>0.375</v>
      </c>
      <c r="G13" s="40">
        <v>0.39583333333333331</v>
      </c>
      <c r="H13" s="39"/>
      <c r="I13" s="41"/>
      <c r="J13" s="155"/>
      <c r="K13" s="42"/>
      <c r="L13" s="42">
        <v>400</v>
      </c>
      <c r="M13" s="50">
        <f t="shared" si="0"/>
        <v>400</v>
      </c>
      <c r="N13" s="42">
        <v>30</v>
      </c>
    </row>
    <row r="14" spans="1:16">
      <c r="A14" s="45" t="s">
        <v>119</v>
      </c>
      <c r="B14" s="46">
        <v>0.4236111111111111</v>
      </c>
      <c r="C14" s="157" t="s">
        <v>120</v>
      </c>
      <c r="D14" s="95" t="s">
        <v>51</v>
      </c>
      <c r="E14" s="198" t="s">
        <v>34</v>
      </c>
      <c r="F14" s="40">
        <v>0.4236111111111111</v>
      </c>
      <c r="G14" s="40">
        <v>0.52152777777777781</v>
      </c>
      <c r="H14" s="39"/>
      <c r="I14" s="41"/>
      <c r="J14" s="155" t="s">
        <v>121</v>
      </c>
      <c r="K14" s="42"/>
      <c r="L14" s="42">
        <v>920</v>
      </c>
      <c r="M14" s="50">
        <f t="shared" si="0"/>
        <v>920</v>
      </c>
      <c r="N14" s="42">
        <v>30</v>
      </c>
      <c r="P14" t="s">
        <v>122</v>
      </c>
    </row>
    <row r="15" spans="1:16">
      <c r="A15" s="90" t="s">
        <v>123</v>
      </c>
      <c r="B15" s="48">
        <v>0.74305555555555558</v>
      </c>
      <c r="C15" s="157" t="s">
        <v>124</v>
      </c>
      <c r="D15" s="198" t="s">
        <v>51</v>
      </c>
      <c r="E15" s="39" t="s">
        <v>34</v>
      </c>
      <c r="F15" s="40">
        <v>0.76388888888888884</v>
      </c>
      <c r="G15" s="40">
        <v>0.79513888888888884</v>
      </c>
      <c r="H15" s="39"/>
      <c r="I15" s="41"/>
      <c r="J15" s="155" t="s">
        <v>125</v>
      </c>
      <c r="K15" s="42">
        <v>75</v>
      </c>
      <c r="L15" s="42">
        <v>460</v>
      </c>
      <c r="M15" s="50">
        <f t="shared" si="0"/>
        <v>535</v>
      </c>
      <c r="N15" s="42">
        <v>30</v>
      </c>
    </row>
    <row r="16" spans="1:16">
      <c r="A16" s="45" t="s">
        <v>126</v>
      </c>
      <c r="B16" s="46">
        <v>0.37847222222222221</v>
      </c>
      <c r="C16" s="39" t="s">
        <v>48</v>
      </c>
      <c r="D16" s="111" t="s">
        <v>42</v>
      </c>
      <c r="E16" s="39" t="s">
        <v>127</v>
      </c>
      <c r="F16" s="40"/>
      <c r="G16" s="40"/>
      <c r="H16" s="39"/>
      <c r="I16" s="41"/>
      <c r="J16" s="43"/>
      <c r="K16" s="42"/>
      <c r="L16" s="42">
        <v>400</v>
      </c>
      <c r="M16" s="50">
        <f t="shared" si="0"/>
        <v>400</v>
      </c>
      <c r="N16" s="42"/>
    </row>
    <row r="17" spans="1:14">
      <c r="A17" s="51"/>
      <c r="B17" s="62"/>
      <c r="C17" s="53"/>
      <c r="D17" s="9"/>
      <c r="E17" s="53"/>
      <c r="F17" s="61"/>
      <c r="G17" s="61"/>
      <c r="H17" s="53"/>
      <c r="I17" s="55"/>
      <c r="J17" s="56"/>
      <c r="K17" s="50"/>
      <c r="L17" s="50"/>
      <c r="M17" s="50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50">
        <f t="shared" si="0"/>
        <v>0</v>
      </c>
      <c r="N18" s="42"/>
    </row>
    <row r="19" spans="1:14">
      <c r="A19" s="51"/>
      <c r="B19" s="62"/>
      <c r="C19" s="51"/>
      <c r="D19" s="63"/>
      <c r="E19" s="10"/>
      <c r="F19" s="61"/>
      <c r="G19" s="61"/>
      <c r="H19" s="10"/>
      <c r="I19" s="11"/>
      <c r="J19" s="13"/>
      <c r="K19" s="12"/>
      <c r="L19" s="12"/>
      <c r="M19" s="50">
        <f t="shared" si="0"/>
        <v>0</v>
      </c>
      <c r="N19" s="42"/>
    </row>
    <row r="20" spans="1:14">
      <c r="A20" s="14"/>
      <c r="B20" s="15"/>
      <c r="C20" s="10"/>
      <c r="D20" s="36"/>
      <c r="E20" s="10"/>
      <c r="F20" s="61"/>
      <c r="G20" s="61"/>
      <c r="H20" s="10"/>
      <c r="I20" s="11"/>
      <c r="J20" s="13"/>
      <c r="K20" s="12"/>
      <c r="L20" s="12"/>
      <c r="M20" s="50">
        <f t="shared" si="0"/>
        <v>0</v>
      </c>
      <c r="N20" s="42"/>
    </row>
    <row r="21" spans="1:14">
      <c r="A21" s="14"/>
      <c r="B21" s="15"/>
      <c r="C21" s="10"/>
      <c r="D21" s="16"/>
      <c r="E21" s="10"/>
      <c r="F21" s="61"/>
      <c r="G21" s="61"/>
      <c r="H21" s="10"/>
      <c r="I21" s="11"/>
      <c r="J21" s="13"/>
      <c r="K21" s="12"/>
      <c r="L21" s="12"/>
      <c r="M21" s="50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>
        <f t="shared" si="0"/>
        <v>0</v>
      </c>
      <c r="N22" s="42"/>
    </row>
    <row r="23" spans="1:14">
      <c r="A23" s="51"/>
      <c r="B23" s="62"/>
      <c r="C23" s="53"/>
      <c r="D23" s="9"/>
      <c r="E23" s="53"/>
      <c r="F23" s="61"/>
      <c r="G23" s="61"/>
      <c r="H23" s="53"/>
      <c r="I23" s="55"/>
      <c r="J23" s="56"/>
      <c r="K23" s="50"/>
      <c r="L23" s="50"/>
      <c r="M23" s="50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50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50">
        <f t="shared" si="0"/>
        <v>0</v>
      </c>
      <c r="N25" s="42"/>
    </row>
    <row r="26" spans="1:14">
      <c r="A26" s="51"/>
      <c r="B26" s="62"/>
      <c r="C26" s="53"/>
      <c r="D26" s="63"/>
      <c r="E26" s="10"/>
      <c r="F26" s="61"/>
      <c r="G26" s="61"/>
      <c r="H26" s="10"/>
      <c r="I26" s="11"/>
      <c r="J26" s="13"/>
      <c r="K26" s="12"/>
      <c r="L26" s="12"/>
      <c r="M26" s="50">
        <f t="shared" si="0"/>
        <v>0</v>
      </c>
      <c r="N26" s="42"/>
    </row>
    <row r="27" spans="1:14">
      <c r="A27" s="14"/>
      <c r="B27" s="15"/>
      <c r="C27" s="10"/>
      <c r="D27" s="36"/>
      <c r="E27" s="10"/>
      <c r="F27" s="61"/>
      <c r="G27" s="61"/>
      <c r="H27" s="10"/>
      <c r="I27" s="11"/>
      <c r="J27" s="13"/>
      <c r="K27" s="12"/>
      <c r="L27" s="12"/>
      <c r="M27" s="50">
        <f t="shared" si="0"/>
        <v>0</v>
      </c>
      <c r="N27" s="42"/>
    </row>
    <row r="28" spans="1:14">
      <c r="A28" s="14"/>
      <c r="B28" s="15"/>
      <c r="C28" s="10"/>
      <c r="D28" s="16"/>
      <c r="E28" s="10"/>
      <c r="F28" s="61"/>
      <c r="G28" s="61"/>
      <c r="H28" s="10"/>
      <c r="I28" s="11"/>
      <c r="J28" s="13"/>
      <c r="K28" s="12"/>
      <c r="L28" s="12"/>
      <c r="M28" s="50">
        <f t="shared" si="0"/>
        <v>0</v>
      </c>
      <c r="N28" s="42"/>
    </row>
    <row r="29" spans="1:14">
      <c r="A29" s="75"/>
      <c r="B29" s="76"/>
      <c r="C29" s="77"/>
      <c r="D29" s="103"/>
      <c r="E29" s="77"/>
      <c r="F29" s="78"/>
      <c r="G29" s="78"/>
      <c r="H29" s="77"/>
      <c r="I29" s="79"/>
      <c r="J29" s="81"/>
      <c r="K29" s="80"/>
      <c r="L29" s="80"/>
      <c r="M29" s="74"/>
      <c r="N29" s="42"/>
    </row>
    <row r="30" spans="1:14">
      <c r="A30" s="20"/>
      <c r="B30" s="21"/>
      <c r="C30" s="22"/>
      <c r="D30" s="21"/>
      <c r="E30" s="21"/>
      <c r="F30" s="21"/>
      <c r="G30" s="21"/>
      <c r="H30" s="21"/>
      <c r="I30" s="23"/>
      <c r="J30" s="25"/>
      <c r="K30" s="24"/>
      <c r="L30" s="24"/>
      <c r="M30" s="24"/>
      <c r="N30" s="42"/>
    </row>
    <row r="31" spans="1:14">
      <c r="A31" s="20"/>
      <c r="B31" s="21"/>
      <c r="C31" s="22"/>
      <c r="D31" s="21"/>
      <c r="E31" s="21"/>
      <c r="F31" s="21"/>
      <c r="G31" s="21"/>
      <c r="H31" s="21"/>
      <c r="J31" s="25"/>
      <c r="K31" s="24"/>
      <c r="L31" s="24"/>
    </row>
    <row r="32" spans="1:14">
      <c r="A32" s="20"/>
      <c r="B32" s="21"/>
      <c r="C32" s="22"/>
      <c r="D32" s="21"/>
      <c r="E32" s="21"/>
      <c r="F32" s="21"/>
      <c r="G32" s="21"/>
      <c r="H32" s="21"/>
      <c r="J32" s="25"/>
      <c r="K32" s="24"/>
      <c r="L32" s="24"/>
      <c r="M32" s="27"/>
    </row>
    <row r="33" spans="1:14">
      <c r="A33" s="20"/>
      <c r="B33" s="21"/>
      <c r="C33" s="22"/>
      <c r="D33" s="21"/>
      <c r="E33" s="21"/>
      <c r="F33" s="21"/>
      <c r="G33" s="21"/>
      <c r="H33" s="21"/>
      <c r="J33" s="25"/>
      <c r="K33" s="24"/>
      <c r="L33" s="24"/>
    </row>
    <row r="34" spans="1:14">
      <c r="C34" s="30"/>
    </row>
    <row r="35" spans="1:14">
      <c r="C35" s="30"/>
    </row>
    <row r="36" spans="1:14">
      <c r="C36" s="30"/>
    </row>
    <row r="37" spans="1:14">
      <c r="C37" s="30"/>
    </row>
    <row r="38" spans="1:14">
      <c r="C38" s="30"/>
    </row>
    <row r="39" spans="1:14">
      <c r="C39" s="30"/>
    </row>
    <row r="40" spans="1:14">
      <c r="C40" s="30"/>
      <c r="M40" s="26">
        <f>SUM(M2:M39)</f>
        <v>6975</v>
      </c>
      <c r="N40" s="26">
        <f>SUM(N2:N39)</f>
        <v>390</v>
      </c>
    </row>
    <row r="41" spans="1:14">
      <c r="C41" s="30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</sheetData>
  <sortState xmlns:xlrd2="http://schemas.microsoft.com/office/spreadsheetml/2017/richdata2" ref="A2:N125">
    <sortCondition ref="B2:B125"/>
  </sortState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5602-D1D3-4345-A871-0CD561FCE793}">
  <dimension ref="A1:P134"/>
  <sheetViews>
    <sheetView zoomScale="50" zoomScaleNormal="50" workbookViewId="0">
      <selection activeCell="D7" sqref="D7"/>
    </sheetView>
  </sheetViews>
  <sheetFormatPr defaultColWidth="8.75" defaultRowHeight="15"/>
  <cols>
    <col min="1" max="1" width="9" style="29"/>
    <col min="3" max="3" width="60.75" customWidth="1"/>
    <col min="4" max="4" width="27.7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 ht="26.25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1" customFormat="1" ht="17.25" customHeight="1">
      <c r="A2" s="90" t="s">
        <v>128</v>
      </c>
      <c r="B2" s="173">
        <v>0.2326388888888889</v>
      </c>
      <c r="C2" s="298" t="s">
        <v>129</v>
      </c>
      <c r="D2" s="60" t="s">
        <v>33</v>
      </c>
      <c r="E2" s="39" t="s">
        <v>34</v>
      </c>
      <c r="F2" s="40">
        <v>0.2951388888888889</v>
      </c>
      <c r="G2" s="40">
        <v>0.31597222222222221</v>
      </c>
      <c r="H2" s="49"/>
      <c r="I2" s="41"/>
      <c r="J2" s="160" t="s">
        <v>130</v>
      </c>
      <c r="K2" s="176">
        <v>95</v>
      </c>
      <c r="L2" s="177">
        <v>400</v>
      </c>
      <c r="M2" s="42">
        <f t="shared" ref="M2:M22" si="0">SUM(K2:L2)</f>
        <v>495</v>
      </c>
      <c r="N2" s="42">
        <v>30</v>
      </c>
    </row>
    <row r="3" spans="1:16" s="6" customFormat="1" ht="17.25" customHeight="1">
      <c r="A3" s="90" t="s">
        <v>131</v>
      </c>
      <c r="B3" s="46">
        <v>0.36805555555555558</v>
      </c>
      <c r="C3" s="166" t="s">
        <v>64</v>
      </c>
      <c r="D3" s="159" t="s">
        <v>132</v>
      </c>
      <c r="E3" s="46" t="s">
        <v>34</v>
      </c>
      <c r="F3" s="40">
        <v>0.39583333333333331</v>
      </c>
      <c r="G3" s="40">
        <v>0.41666666666666669</v>
      </c>
      <c r="H3" s="39"/>
      <c r="I3" s="41"/>
      <c r="J3" s="41" t="s">
        <v>40</v>
      </c>
      <c r="K3" s="42">
        <v>35</v>
      </c>
      <c r="L3" s="44">
        <v>400</v>
      </c>
      <c r="M3" s="42">
        <f t="shared" si="0"/>
        <v>435</v>
      </c>
      <c r="N3" s="42">
        <v>30</v>
      </c>
    </row>
    <row r="4" spans="1:16" s="6" customFormat="1" ht="17.25" customHeight="1">
      <c r="A4" s="90" t="s">
        <v>131</v>
      </c>
      <c r="B4" s="46">
        <v>0.36805555555555558</v>
      </c>
      <c r="C4" s="166" t="s">
        <v>64</v>
      </c>
      <c r="D4" s="159" t="s">
        <v>133</v>
      </c>
      <c r="E4" s="46" t="s">
        <v>34</v>
      </c>
      <c r="F4" s="40">
        <v>0.39583333333333331</v>
      </c>
      <c r="G4" s="40">
        <v>0.41666666666666669</v>
      </c>
      <c r="H4" s="39"/>
      <c r="I4" s="41"/>
      <c r="J4" s="41" t="s">
        <v>40</v>
      </c>
      <c r="K4" s="42">
        <v>35</v>
      </c>
      <c r="L4" s="44">
        <v>400</v>
      </c>
      <c r="M4" s="42">
        <f t="shared" ref="M4" si="1">SUM(K4:L4)</f>
        <v>435</v>
      </c>
      <c r="N4" s="42">
        <v>30</v>
      </c>
    </row>
    <row r="5" spans="1:16" s="6" customFormat="1" ht="17.25" customHeight="1">
      <c r="A5" s="90" t="s">
        <v>134</v>
      </c>
      <c r="B5" s="46">
        <v>0.42708333333333331</v>
      </c>
      <c r="C5" s="166" t="s">
        <v>48</v>
      </c>
      <c r="D5" s="7" t="s">
        <v>51</v>
      </c>
      <c r="E5" s="39" t="s">
        <v>34</v>
      </c>
      <c r="F5" s="40">
        <v>0.42916666666666664</v>
      </c>
      <c r="G5" s="40">
        <v>0.45</v>
      </c>
      <c r="H5" s="39"/>
      <c r="I5" s="41"/>
      <c r="J5" s="41"/>
      <c r="K5" s="42"/>
      <c r="L5" s="44">
        <v>400</v>
      </c>
      <c r="M5" s="42">
        <f t="shared" si="0"/>
        <v>400</v>
      </c>
      <c r="N5" s="42">
        <v>30</v>
      </c>
    </row>
    <row r="6" spans="1:16" s="6" customFormat="1" ht="17.25" customHeight="1">
      <c r="A6" s="90" t="s">
        <v>135</v>
      </c>
      <c r="B6" s="46">
        <v>0.5</v>
      </c>
      <c r="C6" s="166" t="s">
        <v>136</v>
      </c>
      <c r="D6" s="7" t="s">
        <v>137</v>
      </c>
      <c r="E6" s="46" t="s">
        <v>34</v>
      </c>
      <c r="F6" s="40">
        <v>0.52500000000000002</v>
      </c>
      <c r="G6" s="40">
        <v>0.54583333333333328</v>
      </c>
      <c r="H6" s="39"/>
      <c r="I6" s="41"/>
      <c r="J6" s="41"/>
      <c r="K6" s="42"/>
      <c r="L6" s="44">
        <v>400</v>
      </c>
      <c r="M6" s="42">
        <f t="shared" si="0"/>
        <v>400</v>
      </c>
      <c r="N6" s="42">
        <v>30</v>
      </c>
    </row>
    <row r="7" spans="1:16" s="6" customFormat="1" ht="17.25" customHeight="1">
      <c r="A7" s="158" t="s">
        <v>138</v>
      </c>
      <c r="B7" s="173">
        <v>0.51736111111111116</v>
      </c>
      <c r="C7" s="166" t="s">
        <v>139</v>
      </c>
      <c r="D7" s="7" t="s">
        <v>51</v>
      </c>
      <c r="E7" s="164" t="s">
        <v>34</v>
      </c>
      <c r="F7" s="165">
        <v>0.54374999999999996</v>
      </c>
      <c r="G7" s="165">
        <v>0.56874999999999998</v>
      </c>
      <c r="H7" s="168"/>
      <c r="I7" s="160"/>
      <c r="J7" s="160" t="s">
        <v>140</v>
      </c>
      <c r="K7" s="156">
        <v>75</v>
      </c>
      <c r="L7" s="161">
        <v>460</v>
      </c>
      <c r="M7" s="156">
        <f t="shared" si="0"/>
        <v>535</v>
      </c>
      <c r="N7" s="42">
        <v>30</v>
      </c>
    </row>
    <row r="8" spans="1:16" s="6" customFormat="1" ht="17.25" customHeight="1">
      <c r="A8" s="158" t="s">
        <v>141</v>
      </c>
      <c r="B8" s="163">
        <v>0.79513888888888884</v>
      </c>
      <c r="C8" s="166" t="s">
        <v>142</v>
      </c>
      <c r="D8" s="36" t="s">
        <v>33</v>
      </c>
      <c r="E8" s="164" t="s">
        <v>34</v>
      </c>
      <c r="F8" s="165">
        <v>0.79513888888888884</v>
      </c>
      <c r="G8" s="165">
        <v>0.83333333333333337</v>
      </c>
      <c r="H8" s="164"/>
      <c r="I8" s="160"/>
      <c r="J8" s="155" t="s">
        <v>100</v>
      </c>
      <c r="K8" s="156">
        <v>40</v>
      </c>
      <c r="L8" s="161">
        <v>460</v>
      </c>
      <c r="M8" s="156">
        <f t="shared" si="0"/>
        <v>500</v>
      </c>
      <c r="N8" s="42">
        <v>30</v>
      </c>
    </row>
    <row r="9" spans="1:16" s="6" customFormat="1" ht="17.25" customHeight="1">
      <c r="A9" s="90" t="s">
        <v>143</v>
      </c>
      <c r="B9" s="91">
        <v>0.75</v>
      </c>
      <c r="C9" s="166" t="s">
        <v>144</v>
      </c>
      <c r="D9" s="198" t="s">
        <v>51</v>
      </c>
      <c r="E9" s="39" t="s">
        <v>34</v>
      </c>
      <c r="F9" s="40">
        <v>0.75</v>
      </c>
      <c r="G9" s="40">
        <v>0.87847222222222221</v>
      </c>
      <c r="H9" s="39"/>
      <c r="I9" s="41"/>
      <c r="J9" s="43" t="s">
        <v>121</v>
      </c>
      <c r="K9" s="42"/>
      <c r="L9" s="44">
        <v>920</v>
      </c>
      <c r="M9" s="156">
        <f t="shared" si="0"/>
        <v>920</v>
      </c>
      <c r="N9" s="42">
        <v>30</v>
      </c>
      <c r="P9" s="6" t="s">
        <v>145</v>
      </c>
    </row>
    <row r="10" spans="1:16" ht="17.25" customHeight="1">
      <c r="A10" s="90"/>
      <c r="B10" s="48"/>
      <c r="C10" s="166"/>
      <c r="D10" s="7"/>
      <c r="E10" s="39"/>
      <c r="F10" s="40"/>
      <c r="G10" s="40"/>
      <c r="H10" s="39"/>
      <c r="I10" s="41"/>
      <c r="J10" s="155"/>
      <c r="K10" s="42"/>
      <c r="L10" s="44"/>
      <c r="M10" s="156">
        <f t="shared" si="0"/>
        <v>0</v>
      </c>
      <c r="N10" s="42"/>
    </row>
    <row r="11" spans="1:16" ht="17.25" customHeight="1">
      <c r="A11" s="90"/>
      <c r="B11" s="48"/>
      <c r="C11" s="39"/>
      <c r="D11" s="7"/>
      <c r="E11" s="39"/>
      <c r="F11" s="40"/>
      <c r="G11" s="40"/>
      <c r="H11" s="39"/>
      <c r="I11" s="41"/>
      <c r="J11" s="41"/>
      <c r="K11" s="42"/>
      <c r="L11" s="44"/>
      <c r="M11" s="156">
        <f t="shared" si="0"/>
        <v>0</v>
      </c>
      <c r="N11" s="42"/>
    </row>
    <row r="12" spans="1:16" ht="17.25" customHeight="1">
      <c r="A12" s="90"/>
      <c r="B12" s="48"/>
      <c r="C12" s="39"/>
      <c r="D12" s="7"/>
      <c r="E12" s="39"/>
      <c r="F12" s="40"/>
      <c r="G12" s="40"/>
      <c r="H12" s="49"/>
      <c r="I12" s="41"/>
      <c r="J12" s="41"/>
      <c r="K12" s="42"/>
      <c r="L12" s="44"/>
      <c r="M12" s="156">
        <f t="shared" si="0"/>
        <v>0</v>
      </c>
      <c r="N12" s="42"/>
    </row>
    <row r="13" spans="1:16">
      <c r="A13" s="59"/>
      <c r="B13" s="52"/>
      <c r="C13" s="39"/>
      <c r="D13" s="19"/>
      <c r="E13" s="53"/>
      <c r="F13" s="54"/>
      <c r="G13" s="54"/>
      <c r="H13" s="53"/>
      <c r="I13" s="55"/>
      <c r="J13" s="56"/>
      <c r="K13" s="50"/>
      <c r="L13" s="57"/>
      <c r="M13" s="156">
        <f t="shared" si="0"/>
        <v>0</v>
      </c>
      <c r="N13" s="42"/>
    </row>
    <row r="14" spans="1:16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156">
        <f t="shared" si="0"/>
        <v>0</v>
      </c>
      <c r="N14" s="42"/>
    </row>
    <row r="15" spans="1:16">
      <c r="A15" s="45"/>
      <c r="B15" s="48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6">
        <f t="shared" si="0"/>
        <v>0</v>
      </c>
      <c r="N15" s="42"/>
    </row>
    <row r="16" spans="1:16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6">
        <f t="shared" si="0"/>
        <v>0</v>
      </c>
      <c r="N16" s="42"/>
    </row>
    <row r="17" spans="1:14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6">
        <f t="shared" si="0"/>
        <v>0</v>
      </c>
      <c r="N17" s="42"/>
    </row>
    <row r="18" spans="1:14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50"/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50"/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50"/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50"/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50"/>
      <c r="N38" s="42"/>
    </row>
    <row r="39" spans="1:14">
      <c r="A39" s="14"/>
      <c r="B39" s="15"/>
      <c r="C39" s="10"/>
      <c r="D39" s="64"/>
      <c r="E39" s="10"/>
      <c r="F39" s="61"/>
      <c r="G39" s="61"/>
      <c r="H39" s="10"/>
      <c r="I39" s="11"/>
      <c r="J39" s="13"/>
      <c r="K39" s="12"/>
      <c r="L39" s="12"/>
      <c r="M39" s="50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4120</v>
      </c>
      <c r="N40" s="26">
        <f>SUM(N2:N39)</f>
        <v>240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autoFilter ref="A1:N39" xr:uid="{19A39F62-BA1E-4725-9173-EC569D27509D}">
    <sortState xmlns:xlrd2="http://schemas.microsoft.com/office/spreadsheetml/2017/richdata2" ref="A2:N39">
      <sortCondition ref="B1:B39"/>
    </sortState>
  </autoFilter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A407-4AA1-4021-AFEE-7F904A454B46}">
  <dimension ref="A1:P127"/>
  <sheetViews>
    <sheetView topLeftCell="C1" zoomScale="60" zoomScaleNormal="60" workbookViewId="0">
      <selection activeCell="D2" sqref="D2"/>
    </sheetView>
  </sheetViews>
  <sheetFormatPr defaultColWidth="8.75" defaultRowHeight="15"/>
  <cols>
    <col min="1" max="1" width="10.375" style="29" customWidth="1"/>
    <col min="2" max="2" width="11.875" bestFit="1" customWidth="1"/>
    <col min="3" max="3" width="63.125" customWidth="1"/>
    <col min="4" max="4" width="27.7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70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6" customFormat="1" ht="17.25" customHeight="1">
      <c r="A2" s="154" t="s">
        <v>146</v>
      </c>
      <c r="B2" s="254">
        <v>0.24305555555555555</v>
      </c>
      <c r="C2" s="39" t="s">
        <v>83</v>
      </c>
      <c r="D2" s="36" t="s">
        <v>33</v>
      </c>
      <c r="E2" s="39" t="s">
        <v>34</v>
      </c>
      <c r="F2" s="40">
        <v>0.28125</v>
      </c>
      <c r="G2" s="40">
        <v>0.30208333333333331</v>
      </c>
      <c r="H2" s="49"/>
      <c r="I2" s="41"/>
      <c r="J2" s="155" t="s">
        <v>130</v>
      </c>
      <c r="K2" s="156">
        <v>95</v>
      </c>
      <c r="L2" s="161">
        <v>400</v>
      </c>
      <c r="M2" s="156">
        <f t="shared" ref="M2:M39" si="0">SUM(K2:L2)</f>
        <v>495</v>
      </c>
      <c r="N2" s="42">
        <v>30</v>
      </c>
    </row>
    <row r="3" spans="1:16" s="6" customFormat="1" ht="17.25" customHeight="1">
      <c r="A3" s="154" t="s">
        <v>147</v>
      </c>
      <c r="B3" s="254">
        <v>0.18055555555555555</v>
      </c>
      <c r="C3" s="39" t="s">
        <v>148</v>
      </c>
      <c r="D3" s="7" t="s">
        <v>42</v>
      </c>
      <c r="E3" s="39" t="s">
        <v>34</v>
      </c>
      <c r="F3" s="40">
        <v>0.19791666666666666</v>
      </c>
      <c r="G3" s="40">
        <v>0.21875</v>
      </c>
      <c r="H3" s="39"/>
      <c r="I3" s="41"/>
      <c r="J3" s="155" t="s">
        <v>130</v>
      </c>
      <c r="K3" s="156">
        <v>95</v>
      </c>
      <c r="L3" s="161">
        <v>400</v>
      </c>
      <c r="M3" s="156">
        <f t="shared" si="0"/>
        <v>495</v>
      </c>
      <c r="N3" s="42">
        <v>30</v>
      </c>
    </row>
    <row r="4" spans="1:16" s="6" customFormat="1" ht="17.25" customHeight="1">
      <c r="A4" s="154" t="s">
        <v>147</v>
      </c>
      <c r="B4" s="254">
        <v>0.18055555555555555</v>
      </c>
      <c r="C4" s="39" t="s">
        <v>148</v>
      </c>
      <c r="D4" s="7" t="s">
        <v>33</v>
      </c>
      <c r="E4" s="39" t="s">
        <v>34</v>
      </c>
      <c r="F4" s="40">
        <v>0.19791666666666666</v>
      </c>
      <c r="G4" s="40">
        <v>0.21875</v>
      </c>
      <c r="H4" s="39"/>
      <c r="I4" s="41"/>
      <c r="J4" s="155" t="s">
        <v>130</v>
      </c>
      <c r="K4" s="156">
        <v>95</v>
      </c>
      <c r="L4" s="161">
        <v>400</v>
      </c>
      <c r="M4" s="156">
        <f t="shared" ref="M4" si="1">SUM(K4:L4)</f>
        <v>495</v>
      </c>
      <c r="N4" s="42">
        <v>30</v>
      </c>
    </row>
    <row r="5" spans="1:16" s="6" customFormat="1" ht="17.25" customHeight="1">
      <c r="A5" s="154" t="s">
        <v>149</v>
      </c>
      <c r="B5" s="254">
        <v>0.29166666666666669</v>
      </c>
      <c r="C5" s="39" t="s">
        <v>48</v>
      </c>
      <c r="D5" s="257" t="s">
        <v>42</v>
      </c>
      <c r="E5" s="39" t="s">
        <v>34</v>
      </c>
      <c r="F5" s="40">
        <v>0.29166666666666669</v>
      </c>
      <c r="G5" s="40">
        <v>0.3125</v>
      </c>
      <c r="H5" s="39"/>
      <c r="I5" s="41"/>
      <c r="J5" s="56"/>
      <c r="K5" s="50"/>
      <c r="L5" s="57">
        <v>400</v>
      </c>
      <c r="M5" s="156">
        <f t="shared" si="0"/>
        <v>400</v>
      </c>
      <c r="N5" s="42">
        <v>30</v>
      </c>
    </row>
    <row r="6" spans="1:16" s="6" customFormat="1" ht="17.25" customHeight="1">
      <c r="A6" s="154" t="s">
        <v>150</v>
      </c>
      <c r="B6" s="254">
        <v>0.39930555555555558</v>
      </c>
      <c r="C6" s="39" t="s">
        <v>104</v>
      </c>
      <c r="D6" s="256" t="s">
        <v>151</v>
      </c>
      <c r="E6" s="53" t="s">
        <v>34</v>
      </c>
      <c r="F6" s="54">
        <v>0.39930555555555558</v>
      </c>
      <c r="G6" s="54">
        <v>0.4201388888888889</v>
      </c>
      <c r="H6" s="53"/>
      <c r="I6" s="55"/>
      <c r="J6" s="56"/>
      <c r="K6" s="50"/>
      <c r="L6" s="57">
        <v>400</v>
      </c>
      <c r="M6" s="156">
        <f t="shared" si="0"/>
        <v>400</v>
      </c>
      <c r="N6" s="42">
        <v>30</v>
      </c>
    </row>
    <row r="7" spans="1:16" s="87" customFormat="1" ht="17.25" customHeight="1">
      <c r="A7" s="154" t="s">
        <v>152</v>
      </c>
      <c r="B7" s="254">
        <v>0.45833333333333331</v>
      </c>
      <c r="C7" s="39" t="s">
        <v>153</v>
      </c>
      <c r="D7" s="258" t="s">
        <v>151</v>
      </c>
      <c r="E7" s="86" t="s">
        <v>34</v>
      </c>
      <c r="F7" s="54">
        <v>0.45833333333333331</v>
      </c>
      <c r="G7" s="54">
        <v>0.47916666666666669</v>
      </c>
      <c r="H7" s="58"/>
      <c r="I7" s="55"/>
      <c r="J7" s="56" t="s">
        <v>100</v>
      </c>
      <c r="K7" s="50">
        <v>40</v>
      </c>
      <c r="L7" s="57">
        <v>460</v>
      </c>
      <c r="M7" s="156">
        <f t="shared" si="0"/>
        <v>500</v>
      </c>
      <c r="N7" s="42">
        <v>30</v>
      </c>
      <c r="O7" s="273"/>
      <c r="P7" s="273"/>
    </row>
    <row r="8" spans="1:16" s="71" customFormat="1" ht="13.5">
      <c r="A8" s="154" t="s">
        <v>154</v>
      </c>
      <c r="B8" s="153">
        <v>0.33333333333333331</v>
      </c>
      <c r="C8" s="259" t="s">
        <v>104</v>
      </c>
      <c r="D8" s="7" t="s">
        <v>51</v>
      </c>
      <c r="E8" s="86" t="s">
        <v>34</v>
      </c>
      <c r="F8" s="165">
        <v>0.32847222222222222</v>
      </c>
      <c r="G8" s="165">
        <v>0.34930555555555554</v>
      </c>
      <c r="H8" s="53"/>
      <c r="I8" s="55"/>
      <c r="J8" s="56"/>
      <c r="K8" s="50"/>
      <c r="L8" s="57">
        <v>400</v>
      </c>
      <c r="M8" s="156">
        <f t="shared" si="0"/>
        <v>400</v>
      </c>
      <c r="N8" s="42">
        <v>30</v>
      </c>
      <c r="O8" s="151"/>
      <c r="P8" s="151"/>
    </row>
    <row r="9" spans="1:16" s="6" customFormat="1" ht="17.25" customHeight="1">
      <c r="A9" s="154" t="s">
        <v>155</v>
      </c>
      <c r="B9" s="153">
        <v>0.41666666666666669</v>
      </c>
      <c r="C9" s="259" t="s">
        <v>156</v>
      </c>
      <c r="D9" s="73" t="s">
        <v>51</v>
      </c>
      <c r="E9" s="53" t="s">
        <v>34</v>
      </c>
      <c r="F9" s="165">
        <v>0.39583333333333331</v>
      </c>
      <c r="G9" s="165">
        <v>0.4236111111111111</v>
      </c>
      <c r="H9" s="53"/>
      <c r="I9" s="55"/>
      <c r="J9" s="56" t="s">
        <v>100</v>
      </c>
      <c r="K9" s="50">
        <v>40</v>
      </c>
      <c r="L9" s="57">
        <v>460</v>
      </c>
      <c r="M9" s="156">
        <f t="shared" si="0"/>
        <v>500</v>
      </c>
      <c r="N9" s="42">
        <v>30</v>
      </c>
    </row>
    <row r="10" spans="1:16" s="111" customFormat="1" ht="17.25" customHeight="1">
      <c r="A10" s="90" t="s">
        <v>157</v>
      </c>
      <c r="B10" s="90" t="s">
        <v>158</v>
      </c>
      <c r="C10" s="39" t="s">
        <v>159</v>
      </c>
      <c r="D10" s="7" t="s">
        <v>42</v>
      </c>
      <c r="E10" s="39" t="s">
        <v>34</v>
      </c>
      <c r="F10" s="40">
        <v>0.45555555555555555</v>
      </c>
      <c r="G10" s="40">
        <v>0.48194444444444445</v>
      </c>
      <c r="H10" s="39"/>
      <c r="I10" s="41"/>
      <c r="J10" s="155" t="s">
        <v>100</v>
      </c>
      <c r="K10" s="156">
        <v>40</v>
      </c>
      <c r="L10" s="44">
        <v>460</v>
      </c>
      <c r="M10" s="156">
        <f t="shared" si="0"/>
        <v>500</v>
      </c>
      <c r="N10" s="42">
        <v>30</v>
      </c>
    </row>
    <row r="11" spans="1:16" s="6" customFormat="1" ht="17.25" customHeight="1">
      <c r="A11" s="59"/>
      <c r="B11" s="52"/>
      <c r="C11" s="53"/>
      <c r="D11" s="85"/>
      <c r="E11" s="53"/>
      <c r="F11" s="54"/>
      <c r="G11" s="54"/>
      <c r="H11" s="53"/>
      <c r="I11" s="55"/>
      <c r="J11" s="56"/>
      <c r="K11" s="50"/>
      <c r="L11" s="57"/>
      <c r="M11" s="156">
        <f t="shared" si="0"/>
        <v>0</v>
      </c>
      <c r="N11" s="42"/>
    </row>
    <row r="12" spans="1:16" s="6" customFormat="1" ht="17.25" customHeight="1">
      <c r="A12" s="51"/>
      <c r="B12" s="62"/>
      <c r="C12" s="53"/>
      <c r="D12" s="19"/>
      <c r="E12" s="53"/>
      <c r="F12" s="54"/>
      <c r="G12" s="54"/>
      <c r="H12" s="53"/>
      <c r="I12" s="55"/>
      <c r="J12" s="56"/>
      <c r="K12" s="50"/>
      <c r="L12" s="50"/>
      <c r="M12" s="156">
        <f t="shared" si="0"/>
        <v>0</v>
      </c>
      <c r="N12" s="42"/>
    </row>
    <row r="13" spans="1:16" ht="17.25" customHeight="1">
      <c r="A13" s="1"/>
      <c r="B13" s="8"/>
      <c r="C13" s="53"/>
      <c r="D13" s="36"/>
      <c r="E13" s="53"/>
      <c r="F13" s="61"/>
      <c r="G13" s="61"/>
      <c r="H13" s="53"/>
      <c r="I13" s="55"/>
      <c r="J13" s="56"/>
      <c r="K13" s="50"/>
      <c r="L13" s="50"/>
      <c r="M13" s="156">
        <f t="shared" si="0"/>
        <v>0</v>
      </c>
      <c r="N13" s="42"/>
    </row>
    <row r="14" spans="1:16" ht="17.25" customHeight="1">
      <c r="A14" s="51"/>
      <c r="B14" s="62"/>
      <c r="C14" s="53"/>
      <c r="D14" s="36"/>
      <c r="E14" s="53"/>
      <c r="F14" s="61"/>
      <c r="G14" s="61"/>
      <c r="H14" s="53"/>
      <c r="I14" s="55"/>
      <c r="J14" s="56"/>
      <c r="K14" s="50"/>
      <c r="L14" s="50"/>
      <c r="M14" s="156">
        <f t="shared" si="0"/>
        <v>0</v>
      </c>
      <c r="N14" s="42"/>
    </row>
    <row r="15" spans="1:16" s="6" customFormat="1" ht="17.25" customHeight="1">
      <c r="A15" s="45"/>
      <c r="B15" s="48"/>
      <c r="C15" s="39"/>
      <c r="D15" s="98"/>
      <c r="E15" s="39"/>
      <c r="F15" s="40"/>
      <c r="G15" s="40"/>
      <c r="H15" s="39"/>
      <c r="I15" s="41"/>
      <c r="J15" s="43"/>
      <c r="K15" s="42"/>
      <c r="L15" s="44"/>
      <c r="M15" s="156">
        <f t="shared" si="0"/>
        <v>0</v>
      </c>
      <c r="N15" s="42"/>
    </row>
    <row r="16" spans="1:16" ht="17.25" customHeight="1">
      <c r="A16" s="51"/>
      <c r="B16" s="62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6">
        <f t="shared" si="0"/>
        <v>0</v>
      </c>
      <c r="N16" s="42"/>
    </row>
    <row r="17" spans="1:14" ht="17.25" customHeight="1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6">
        <f t="shared" si="0"/>
        <v>0</v>
      </c>
      <c r="N17" s="42"/>
    </row>
    <row r="18" spans="1:14" ht="17.25" customHeight="1">
      <c r="A18" s="51"/>
      <c r="B18" s="62"/>
      <c r="C18" s="53"/>
      <c r="D18" s="63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 ht="17.25" customHeight="1">
      <c r="A19" s="51"/>
      <c r="B19" s="62"/>
      <c r="C19" s="53"/>
      <c r="D19" s="53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 ht="17.25" customHeight="1">
      <c r="A21" s="51"/>
      <c r="B21" s="62"/>
      <c r="C21" s="53"/>
      <c r="D21" s="64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 ht="17.25" customHeight="1">
      <c r="A23" s="51"/>
      <c r="B23" s="62"/>
      <c r="C23" s="53"/>
      <c r="D23" s="9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63"/>
      <c r="E26" s="10"/>
      <c r="F26" s="61"/>
      <c r="G26" s="61"/>
      <c r="H26" s="10"/>
      <c r="I26" s="11"/>
      <c r="J26" s="13"/>
      <c r="K26" s="12"/>
      <c r="L26" s="12"/>
      <c r="M26" s="156">
        <f t="shared" si="0"/>
        <v>0</v>
      </c>
      <c r="N26" s="42"/>
    </row>
    <row r="27" spans="1:14">
      <c r="A27" s="14"/>
      <c r="B27" s="15"/>
      <c r="C27" s="53"/>
      <c r="D27" s="36"/>
      <c r="E27" s="10"/>
      <c r="F27" s="61"/>
      <c r="G27" s="61"/>
      <c r="H27" s="10"/>
      <c r="I27" s="11"/>
      <c r="J27" s="13"/>
      <c r="K27" s="12"/>
      <c r="L27" s="12"/>
      <c r="M27" s="156">
        <f t="shared" si="0"/>
        <v>0</v>
      </c>
      <c r="N27" s="42"/>
    </row>
    <row r="28" spans="1:14">
      <c r="A28" s="14"/>
      <c r="B28" s="15"/>
      <c r="C28" s="53"/>
      <c r="D28" s="16"/>
      <c r="E28" s="10"/>
      <c r="F28" s="61"/>
      <c r="G28" s="61"/>
      <c r="H28" s="10"/>
      <c r="I28" s="11"/>
      <c r="J28" s="13"/>
      <c r="K28" s="12"/>
      <c r="L28" s="12"/>
      <c r="M28" s="156">
        <f t="shared" si="0"/>
        <v>0</v>
      </c>
      <c r="N28" s="42"/>
    </row>
    <row r="29" spans="1:14">
      <c r="A29" s="14"/>
      <c r="B29" s="15"/>
      <c r="C29" s="53"/>
      <c r="D29" s="16"/>
      <c r="E29" s="10"/>
      <c r="F29" s="61"/>
      <c r="G29" s="61"/>
      <c r="H29" s="10"/>
      <c r="I29" s="11"/>
      <c r="J29" s="13"/>
      <c r="K29" s="12"/>
      <c r="L29" s="12"/>
      <c r="M29" s="156">
        <f t="shared" si="0"/>
        <v>0</v>
      </c>
      <c r="N29" s="42"/>
    </row>
    <row r="30" spans="1:14">
      <c r="A30" s="14"/>
      <c r="B30" s="15"/>
      <c r="C30" s="53"/>
      <c r="D30" s="36"/>
      <c r="E30" s="10"/>
      <c r="F30" s="61"/>
      <c r="G30" s="61"/>
      <c r="H30" s="10"/>
      <c r="I30" s="11"/>
      <c r="J30" s="13"/>
      <c r="K30" s="12"/>
      <c r="L30" s="12"/>
      <c r="M30" s="156">
        <f t="shared" si="0"/>
        <v>0</v>
      </c>
      <c r="N30" s="42"/>
    </row>
    <row r="31" spans="1:14">
      <c r="A31" s="20"/>
      <c r="B31" s="21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20"/>
      <c r="B32" s="21"/>
      <c r="C32" s="53"/>
      <c r="D32" s="36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20"/>
      <c r="B33" s="21"/>
      <c r="C33" s="53"/>
      <c r="D33" s="16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20"/>
      <c r="B34" s="21"/>
      <c r="C34" s="53"/>
      <c r="D34" s="16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20"/>
      <c r="B35" s="21"/>
      <c r="C35" s="53"/>
      <c r="D35" s="36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C36" s="53"/>
      <c r="D36" s="63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C37" s="53"/>
      <c r="D37" s="36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C38" s="53"/>
      <c r="D38" s="16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4">
      <c r="C39" s="53"/>
      <c r="D39" s="16"/>
      <c r="E39" s="10"/>
      <c r="F39" s="61"/>
      <c r="G39" s="61"/>
      <c r="H39" s="10"/>
      <c r="I39" s="11"/>
      <c r="J39" s="13"/>
      <c r="K39" s="12"/>
      <c r="L39" s="12"/>
      <c r="M39" s="156">
        <f t="shared" si="0"/>
        <v>0</v>
      </c>
      <c r="N39" s="42"/>
    </row>
    <row r="40" spans="1:14">
      <c r="C40" s="412"/>
      <c r="M40" s="26">
        <f>SUM(M2:M39)</f>
        <v>4185</v>
      </c>
      <c r="N40" s="26">
        <f>SUM(N2:N39)</f>
        <v>270</v>
      </c>
    </row>
    <row r="41" spans="1:14">
      <c r="C41" s="101"/>
    </row>
    <row r="42" spans="1:14">
      <c r="C42" s="101"/>
    </row>
    <row r="43" spans="1:14">
      <c r="C43" s="101"/>
    </row>
    <row r="44" spans="1:14">
      <c r="C44" s="101"/>
    </row>
    <row r="45" spans="1:14">
      <c r="C45" s="101"/>
    </row>
    <row r="46" spans="1:14">
      <c r="C46" s="101"/>
    </row>
    <row r="47" spans="1:14">
      <c r="C47" s="101"/>
    </row>
    <row r="48" spans="1:14">
      <c r="C48" s="101"/>
    </row>
    <row r="49" spans="3:3">
      <c r="C49" s="101"/>
    </row>
    <row r="50" spans="3:3">
      <c r="C50" s="101"/>
    </row>
    <row r="51" spans="3:3">
      <c r="C51" s="101"/>
    </row>
    <row r="52" spans="3:3">
      <c r="C52" s="101"/>
    </row>
    <row r="53" spans="3:3">
      <c r="C53" s="101"/>
    </row>
    <row r="54" spans="3:3">
      <c r="C54" s="101"/>
    </row>
    <row r="55" spans="3:3">
      <c r="C55" s="101"/>
    </row>
    <row r="56" spans="3:3">
      <c r="C56" s="101"/>
    </row>
    <row r="57" spans="3:3">
      <c r="C57" s="101"/>
    </row>
    <row r="58" spans="3:3">
      <c r="C58" s="101"/>
    </row>
    <row r="59" spans="3:3">
      <c r="C59" s="101"/>
    </row>
    <row r="60" spans="3:3">
      <c r="C60" s="101"/>
    </row>
    <row r="61" spans="3:3">
      <c r="C61" s="101"/>
    </row>
    <row r="62" spans="3:3">
      <c r="C62" s="101"/>
    </row>
    <row r="63" spans="3:3">
      <c r="C63" s="101"/>
    </row>
    <row r="64" spans="3:3">
      <c r="C64" s="101"/>
    </row>
    <row r="65" spans="3:3">
      <c r="C65" s="101"/>
    </row>
    <row r="66" spans="3:3">
      <c r="C66" s="101"/>
    </row>
    <row r="67" spans="3:3">
      <c r="C67" s="101"/>
    </row>
    <row r="68" spans="3:3">
      <c r="C68" s="101"/>
    </row>
    <row r="69" spans="3:3">
      <c r="C69" s="101"/>
    </row>
    <row r="70" spans="3:3">
      <c r="C70" s="101"/>
    </row>
    <row r="71" spans="3:3">
      <c r="C71" s="101"/>
    </row>
    <row r="72" spans="3:3">
      <c r="C72" s="101"/>
    </row>
    <row r="73" spans="3:3">
      <c r="C73" s="101"/>
    </row>
    <row r="74" spans="3:3">
      <c r="C74" s="101"/>
    </row>
    <row r="75" spans="3:3">
      <c r="C75" s="101"/>
    </row>
    <row r="76" spans="3:3">
      <c r="C76" s="101"/>
    </row>
    <row r="77" spans="3:3">
      <c r="C77" s="101"/>
    </row>
    <row r="78" spans="3:3">
      <c r="C78" s="101"/>
    </row>
    <row r="79" spans="3:3">
      <c r="C79" s="101"/>
    </row>
    <row r="80" spans="3:3">
      <c r="C80" s="101"/>
    </row>
    <row r="81" spans="3:3">
      <c r="C81" s="101"/>
    </row>
    <row r="82" spans="3:3">
      <c r="C82" s="101"/>
    </row>
    <row r="83" spans="3:3">
      <c r="C83" s="101"/>
    </row>
    <row r="84" spans="3:3">
      <c r="C84" s="101"/>
    </row>
    <row r="85" spans="3:3">
      <c r="C85" s="101"/>
    </row>
    <row r="86" spans="3:3">
      <c r="C86" s="101"/>
    </row>
    <row r="87" spans="3:3">
      <c r="C87" s="101"/>
    </row>
    <row r="88" spans="3:3">
      <c r="C88" s="101"/>
    </row>
    <row r="89" spans="3:3">
      <c r="C89" s="101"/>
    </row>
    <row r="90" spans="3:3">
      <c r="C90" s="101"/>
    </row>
    <row r="91" spans="3:3">
      <c r="C91" s="101"/>
    </row>
    <row r="92" spans="3:3">
      <c r="C92" s="101"/>
    </row>
    <row r="93" spans="3:3">
      <c r="C93" s="101"/>
    </row>
    <row r="94" spans="3:3">
      <c r="C94" s="101"/>
    </row>
    <row r="95" spans="3:3">
      <c r="C95" s="101"/>
    </row>
    <row r="96" spans="3:3">
      <c r="C96" s="101"/>
    </row>
    <row r="97" spans="3:3">
      <c r="C97" s="101"/>
    </row>
    <row r="98" spans="3:3">
      <c r="C98" s="101"/>
    </row>
    <row r="99" spans="3:3">
      <c r="C99" s="101"/>
    </row>
    <row r="100" spans="3:3">
      <c r="C100" s="101"/>
    </row>
    <row r="101" spans="3:3">
      <c r="C101" s="101"/>
    </row>
    <row r="102" spans="3:3">
      <c r="C102" s="101"/>
    </row>
    <row r="103" spans="3:3">
      <c r="C103" s="101"/>
    </row>
    <row r="104" spans="3:3">
      <c r="C104" s="101"/>
    </row>
    <row r="105" spans="3:3">
      <c r="C105" s="101"/>
    </row>
    <row r="106" spans="3:3">
      <c r="C106" s="101"/>
    </row>
    <row r="107" spans="3:3">
      <c r="C107" s="101"/>
    </row>
    <row r="108" spans="3:3">
      <c r="C108" s="101"/>
    </row>
    <row r="109" spans="3:3">
      <c r="C109" s="101"/>
    </row>
    <row r="110" spans="3:3">
      <c r="C110" s="101"/>
    </row>
    <row r="111" spans="3:3">
      <c r="C111" s="101"/>
    </row>
    <row r="112" spans="3:3">
      <c r="C112" s="101"/>
    </row>
    <row r="113" spans="3:3">
      <c r="C113" s="101"/>
    </row>
    <row r="114" spans="3:3">
      <c r="C114" s="101"/>
    </row>
    <row r="115" spans="3:3">
      <c r="C115" s="101"/>
    </row>
    <row r="116" spans="3:3">
      <c r="C116" s="101"/>
    </row>
    <row r="117" spans="3:3">
      <c r="C117" s="101"/>
    </row>
    <row r="118" spans="3:3">
      <c r="C118" s="101"/>
    </row>
    <row r="119" spans="3:3">
      <c r="C119" s="101"/>
    </row>
    <row r="120" spans="3:3">
      <c r="C120" s="101"/>
    </row>
    <row r="121" spans="3:3">
      <c r="C121" s="101"/>
    </row>
    <row r="122" spans="3:3">
      <c r="C122" s="101"/>
    </row>
    <row r="123" spans="3:3">
      <c r="C123" s="101"/>
    </row>
    <row r="124" spans="3:3">
      <c r="C124" s="101"/>
    </row>
    <row r="125" spans="3:3">
      <c r="C125" s="101"/>
    </row>
    <row r="126" spans="3:3">
      <c r="C126" s="101"/>
    </row>
    <row r="127" spans="3:3">
      <c r="C127" s="101"/>
    </row>
  </sheetData>
  <sortState xmlns:xlrd2="http://schemas.microsoft.com/office/spreadsheetml/2017/richdata2" ref="A2:N127">
    <sortCondition ref="B2:B127"/>
  </sortState>
  <phoneticPr fontId="11" type="noConversion"/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EDC6-7A5A-4C9F-92F6-A0AFF5758EB9}">
  <sheetPr>
    <pageSetUpPr fitToPage="1"/>
  </sheetPr>
  <dimension ref="A1:P133"/>
  <sheetViews>
    <sheetView topLeftCell="C1" zoomScale="60" zoomScaleNormal="60" workbookViewId="0">
      <selection activeCell="C40" sqref="C40"/>
    </sheetView>
  </sheetViews>
  <sheetFormatPr defaultColWidth="8.75" defaultRowHeight="16.5" customHeight="1"/>
  <cols>
    <col min="1" max="1" width="11.875" style="29" customWidth="1"/>
    <col min="3" max="3" width="54.625" customWidth="1"/>
    <col min="4" max="4" width="22.5" bestFit="1" customWidth="1"/>
    <col min="5" max="7" width="9" customWidth="1"/>
    <col min="8" max="8" width="11.5" customWidth="1"/>
    <col min="9" max="9" width="9.5" customWidth="1"/>
    <col min="10" max="10" width="41.125" style="31" customWidth="1"/>
    <col min="11" max="11" width="12.375" style="28" customWidth="1"/>
    <col min="12" max="12" width="12.375" style="28" bestFit="1" customWidth="1"/>
    <col min="13" max="13" width="15.125" style="28" customWidth="1"/>
  </cols>
  <sheetData>
    <row r="1" spans="1:16" ht="18" customHeight="1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1" customFormat="1" ht="17.25" customHeight="1">
      <c r="A2" s="144" t="s">
        <v>160</v>
      </c>
      <c r="B2" s="129">
        <v>1.0416666666666666E-2</v>
      </c>
      <c r="C2" s="92" t="s">
        <v>161</v>
      </c>
      <c r="D2" s="73" t="s">
        <v>51</v>
      </c>
      <c r="E2" s="92" t="s">
        <v>34</v>
      </c>
      <c r="F2" s="112">
        <v>2.0833333333333333E-3</v>
      </c>
      <c r="G2" s="112">
        <v>2.2916666666666665E-2</v>
      </c>
      <c r="H2" s="92"/>
      <c r="I2" s="113"/>
      <c r="J2" s="192" t="s">
        <v>35</v>
      </c>
      <c r="K2" s="193">
        <v>60</v>
      </c>
      <c r="L2" s="194">
        <v>400</v>
      </c>
      <c r="M2" s="156">
        <f t="shared" ref="M2:M14" si="0">SUM(K2:L2)</f>
        <v>460</v>
      </c>
      <c r="N2" s="42">
        <v>30</v>
      </c>
    </row>
    <row r="3" spans="1:16" s="131" customFormat="1" ht="17.25" customHeight="1">
      <c r="A3" s="144" t="s">
        <v>162</v>
      </c>
      <c r="B3" s="129">
        <v>4.5138888888888888E-2</v>
      </c>
      <c r="C3" s="92" t="s">
        <v>163</v>
      </c>
      <c r="D3" s="92" t="s">
        <v>51</v>
      </c>
      <c r="E3" s="92" t="s">
        <v>34</v>
      </c>
      <c r="F3" s="112">
        <v>6.805555555555555E-2</v>
      </c>
      <c r="G3" s="112">
        <v>8.6805555555555552E-2</v>
      </c>
      <c r="H3" s="92"/>
      <c r="I3" s="113"/>
      <c r="J3" s="192" t="s">
        <v>56</v>
      </c>
      <c r="K3" s="42">
        <v>95</v>
      </c>
      <c r="L3" s="44">
        <v>400</v>
      </c>
      <c r="M3" s="156">
        <f t="shared" si="0"/>
        <v>495</v>
      </c>
      <c r="N3" s="42">
        <v>30</v>
      </c>
      <c r="O3" s="143"/>
      <c r="P3" s="143"/>
    </row>
    <row r="4" spans="1:16" s="131" customFormat="1" ht="17.25" customHeight="1">
      <c r="A4" s="144" t="s">
        <v>162</v>
      </c>
      <c r="B4" s="129">
        <v>4.5138888888888888E-2</v>
      </c>
      <c r="C4" s="92" t="s">
        <v>163</v>
      </c>
      <c r="D4" s="7" t="s">
        <v>42</v>
      </c>
      <c r="E4" s="92" t="s">
        <v>34</v>
      </c>
      <c r="F4" s="112">
        <v>6.805555555555555E-2</v>
      </c>
      <c r="G4" s="112">
        <v>8.6805555555555552E-2</v>
      </c>
      <c r="H4" s="92"/>
      <c r="I4" s="113"/>
      <c r="J4" s="192" t="s">
        <v>56</v>
      </c>
      <c r="K4" s="42">
        <v>95</v>
      </c>
      <c r="L4" s="44">
        <v>400</v>
      </c>
      <c r="M4" s="156">
        <f t="shared" ref="M4" si="1">SUM(K4:L4)</f>
        <v>495</v>
      </c>
      <c r="N4" s="42">
        <v>30</v>
      </c>
      <c r="O4" s="143"/>
      <c r="P4" s="143"/>
    </row>
    <row r="5" spans="1:16" s="111" customFormat="1" ht="17.25" customHeight="1">
      <c r="A5" s="90" t="s">
        <v>164</v>
      </c>
      <c r="B5" s="90" t="s">
        <v>165</v>
      </c>
      <c r="C5" s="39" t="s">
        <v>161</v>
      </c>
      <c r="D5" s="7" t="s">
        <v>166</v>
      </c>
      <c r="E5" s="39" t="s">
        <v>34</v>
      </c>
      <c r="F5" s="40">
        <v>6.25E-2</v>
      </c>
      <c r="G5" s="40">
        <v>8.3333333333333329E-2</v>
      </c>
      <c r="H5" s="39"/>
      <c r="I5" s="41"/>
      <c r="J5" s="155" t="s">
        <v>35</v>
      </c>
      <c r="K5" s="156">
        <v>60</v>
      </c>
      <c r="L5" s="44">
        <v>400</v>
      </c>
      <c r="M5" s="156">
        <f t="shared" si="0"/>
        <v>460</v>
      </c>
      <c r="N5" s="42">
        <v>30</v>
      </c>
    </row>
    <row r="6" spans="1:16" s="6" customFormat="1" ht="17.25" customHeight="1">
      <c r="A6" s="90" t="s">
        <v>167</v>
      </c>
      <c r="B6" s="48">
        <v>0.35416666666666669</v>
      </c>
      <c r="C6" s="92" t="s">
        <v>104</v>
      </c>
      <c r="D6" s="7" t="s">
        <v>42</v>
      </c>
      <c r="E6" s="39" t="s">
        <v>34</v>
      </c>
      <c r="F6" s="40">
        <v>0.35416666666666669</v>
      </c>
      <c r="G6" s="40">
        <v>0.37361111111111112</v>
      </c>
      <c r="H6" s="39"/>
      <c r="I6" s="41"/>
      <c r="J6" s="43"/>
      <c r="K6" s="42"/>
      <c r="L6" s="44">
        <v>400</v>
      </c>
      <c r="M6" s="156">
        <f t="shared" si="0"/>
        <v>400</v>
      </c>
      <c r="N6" s="42">
        <v>30</v>
      </c>
    </row>
    <row r="7" spans="1:16" s="6" customFormat="1" ht="17.25" customHeight="1">
      <c r="A7" s="315" t="s">
        <v>168</v>
      </c>
      <c r="B7" s="316">
        <v>0.95486111111111116</v>
      </c>
      <c r="C7" s="283" t="s">
        <v>102</v>
      </c>
      <c r="D7" s="317" t="s">
        <v>169</v>
      </c>
      <c r="E7" s="283" t="s">
        <v>34</v>
      </c>
      <c r="F7" s="282">
        <v>0.98611111111111116</v>
      </c>
      <c r="G7" s="282">
        <v>6.9444444444444441E-3</v>
      </c>
      <c r="H7" s="318"/>
      <c r="I7" s="284"/>
      <c r="J7" s="285" t="s">
        <v>40</v>
      </c>
      <c r="K7" s="286">
        <v>35</v>
      </c>
      <c r="L7" s="287">
        <v>400</v>
      </c>
      <c r="M7" s="156">
        <f t="shared" si="0"/>
        <v>435</v>
      </c>
      <c r="N7" s="42">
        <v>30</v>
      </c>
    </row>
    <row r="8" spans="1:16" s="6" customFormat="1" ht="17.25" customHeight="1">
      <c r="A8" s="315" t="s">
        <v>168</v>
      </c>
      <c r="B8" s="316">
        <v>0.95486111111111116</v>
      </c>
      <c r="C8" s="283" t="s">
        <v>102</v>
      </c>
      <c r="D8" s="317" t="s">
        <v>166</v>
      </c>
      <c r="E8" s="283" t="s">
        <v>34</v>
      </c>
      <c r="F8" s="282">
        <v>0.98611111111111116</v>
      </c>
      <c r="G8" s="282">
        <v>6.9444444444444441E-3</v>
      </c>
      <c r="H8" s="318"/>
      <c r="I8" s="284"/>
      <c r="J8" s="285" t="s">
        <v>40</v>
      </c>
      <c r="K8" s="286">
        <v>35</v>
      </c>
      <c r="L8" s="287">
        <v>400</v>
      </c>
      <c r="M8" s="156">
        <f t="shared" ref="M8" si="2">SUM(K8:L8)</f>
        <v>435</v>
      </c>
      <c r="N8" s="42">
        <v>30</v>
      </c>
    </row>
    <row r="9" spans="1:16" s="6" customFormat="1" ht="17.25" customHeight="1">
      <c r="A9" s="90"/>
      <c r="B9" s="48"/>
      <c r="C9" s="39"/>
      <c r="D9" s="7"/>
      <c r="E9" s="39"/>
      <c r="F9" s="40"/>
      <c r="G9" s="40"/>
      <c r="H9" s="39"/>
      <c r="I9" s="41"/>
      <c r="J9" s="43"/>
      <c r="K9" s="42"/>
      <c r="L9" s="44"/>
      <c r="M9" s="156">
        <f t="shared" si="0"/>
        <v>0</v>
      </c>
      <c r="N9" s="42"/>
    </row>
    <row r="10" spans="1:16" s="6" customFormat="1" ht="17.25" customHeight="1">
      <c r="A10" s="90"/>
      <c r="B10" s="48"/>
      <c r="C10" s="39"/>
      <c r="D10" s="39"/>
      <c r="E10" s="39"/>
      <c r="F10" s="40"/>
      <c r="G10" s="40"/>
      <c r="H10" s="39"/>
      <c r="I10" s="41"/>
      <c r="J10" s="43"/>
      <c r="K10" s="42"/>
      <c r="L10" s="44"/>
      <c r="M10" s="156">
        <f t="shared" si="0"/>
        <v>0</v>
      </c>
      <c r="N10" s="42"/>
    </row>
    <row r="11" spans="1:16" s="6" customFormat="1" ht="17.25" customHeight="1">
      <c r="A11" s="47"/>
      <c r="B11" s="48"/>
      <c r="C11" s="39"/>
      <c r="D11" s="98"/>
      <c r="E11" s="39"/>
      <c r="F11" s="40"/>
      <c r="G11" s="40"/>
      <c r="H11" s="39"/>
      <c r="I11" s="41"/>
      <c r="J11" s="43"/>
      <c r="K11" s="42"/>
      <c r="L11" s="44"/>
      <c r="M11" s="156">
        <f t="shared" si="0"/>
        <v>0</v>
      </c>
      <c r="N11" s="42"/>
    </row>
    <row r="12" spans="1:16" ht="17.25" customHeight="1">
      <c r="A12" s="45"/>
      <c r="B12" s="48"/>
      <c r="C12" s="39"/>
      <c r="D12" s="98"/>
      <c r="E12" s="39"/>
      <c r="F12" s="40"/>
      <c r="G12" s="40"/>
      <c r="H12" s="39"/>
      <c r="I12" s="41"/>
      <c r="J12" s="43"/>
      <c r="K12" s="42"/>
      <c r="L12" s="44"/>
      <c r="M12" s="156">
        <f t="shared" si="0"/>
        <v>0</v>
      </c>
      <c r="N12" s="42"/>
    </row>
    <row r="13" spans="1:16" ht="17.25" customHeight="1">
      <c r="A13" s="45"/>
      <c r="B13" s="48"/>
      <c r="C13" s="39"/>
      <c r="D13" s="19"/>
      <c r="E13" s="53"/>
      <c r="F13" s="54"/>
      <c r="G13" s="54"/>
      <c r="H13" s="53"/>
      <c r="I13" s="55"/>
      <c r="J13" s="56"/>
      <c r="K13" s="50"/>
      <c r="L13" s="57"/>
      <c r="M13" s="156">
        <f t="shared" si="0"/>
        <v>0</v>
      </c>
      <c r="N13" s="42"/>
    </row>
    <row r="14" spans="1:16" ht="17.25" customHeight="1">
      <c r="A14" s="45"/>
      <c r="B14" s="48"/>
      <c r="C14" s="39"/>
      <c r="D14" s="257"/>
      <c r="E14" s="53"/>
      <c r="F14" s="54"/>
      <c r="G14" s="54"/>
      <c r="H14" s="53"/>
      <c r="I14" s="55"/>
      <c r="J14" s="56"/>
      <c r="K14" s="50"/>
      <c r="L14" s="57"/>
      <c r="M14" s="156">
        <f t="shared" si="0"/>
        <v>0</v>
      </c>
      <c r="N14" s="42"/>
    </row>
    <row r="15" spans="1:16" ht="17.25" customHeight="1">
      <c r="A15" s="59"/>
      <c r="B15" s="52"/>
      <c r="C15" s="53"/>
      <c r="D15" s="19"/>
      <c r="E15" s="53"/>
      <c r="F15" s="54"/>
      <c r="G15" s="54"/>
      <c r="H15" s="53"/>
      <c r="I15" s="55"/>
      <c r="J15" s="56"/>
      <c r="K15" s="50"/>
      <c r="L15" s="57"/>
      <c r="M15" s="50"/>
      <c r="N15" s="42"/>
    </row>
    <row r="16" spans="1:16" ht="17.25" customHeight="1">
      <c r="A16" s="45"/>
      <c r="B16" s="48"/>
      <c r="C16" s="39"/>
      <c r="D16" s="7"/>
      <c r="E16" s="39"/>
      <c r="F16" s="40"/>
      <c r="G16" s="40"/>
      <c r="H16" s="39"/>
      <c r="I16" s="41"/>
      <c r="J16" s="43"/>
      <c r="K16" s="42"/>
      <c r="L16" s="44"/>
      <c r="M16" s="50"/>
      <c r="N16" s="42"/>
    </row>
    <row r="17" spans="1:14" ht="17.25" customHeight="1">
      <c r="A17" s="45"/>
      <c r="B17" s="46"/>
      <c r="C17" s="39"/>
      <c r="D17" s="60"/>
      <c r="E17" s="39"/>
      <c r="F17" s="40"/>
      <c r="G17" s="40"/>
      <c r="H17" s="39"/>
      <c r="I17" s="41"/>
      <c r="J17" s="43"/>
      <c r="K17" s="42"/>
      <c r="L17" s="44"/>
      <c r="M17" s="50"/>
      <c r="N17" s="42"/>
    </row>
    <row r="18" spans="1:14" ht="17.25" customHeight="1">
      <c r="A18" s="47"/>
      <c r="B18" s="48"/>
      <c r="C18" s="39"/>
      <c r="D18" s="60"/>
      <c r="E18" s="39"/>
      <c r="F18" s="40"/>
      <c r="G18" s="40"/>
      <c r="H18" s="39"/>
      <c r="I18" s="41"/>
      <c r="J18" s="43"/>
      <c r="K18" s="42"/>
      <c r="L18" s="44"/>
      <c r="M18" s="50"/>
      <c r="N18" s="42"/>
    </row>
    <row r="19" spans="1:14" ht="17.25" customHeight="1">
      <c r="A19" s="45"/>
      <c r="B19" s="46"/>
      <c r="C19" s="39"/>
      <c r="D19" s="7"/>
      <c r="E19" s="39"/>
      <c r="F19" s="40"/>
      <c r="G19" s="40"/>
      <c r="H19" s="39"/>
      <c r="I19" s="41"/>
      <c r="J19" s="43"/>
      <c r="K19" s="42"/>
      <c r="L19" s="42"/>
      <c r="M19" s="50"/>
      <c r="N19" s="42"/>
    </row>
    <row r="20" spans="1:14" ht="17.25" customHeight="1">
      <c r="A20" s="1"/>
      <c r="B20" s="8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 ht="15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 ht="15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 ht="15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 ht="15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 ht="15">
      <c r="A25" s="51"/>
      <c r="B25" s="62"/>
      <c r="C25" s="53"/>
      <c r="D25" s="63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 ht="15">
      <c r="A26" s="51"/>
      <c r="B26" s="62"/>
      <c r="C26" s="53"/>
      <c r="D26" s="53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 ht="15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 ht="15">
      <c r="A28" s="51"/>
      <c r="B28" s="62"/>
      <c r="C28" s="53"/>
      <c r="D28" s="63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 ht="15">
      <c r="A29" s="51"/>
      <c r="B29" s="62"/>
      <c r="C29" s="53"/>
      <c r="D29" s="53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 ht="15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 ht="15">
      <c r="A31" s="51"/>
      <c r="B31" s="62"/>
      <c r="C31" s="53"/>
      <c r="D31" s="64"/>
      <c r="E31" s="53"/>
      <c r="F31" s="61"/>
      <c r="G31" s="61"/>
      <c r="H31" s="53"/>
      <c r="I31" s="55"/>
      <c r="J31" s="56"/>
      <c r="K31" s="50"/>
      <c r="L31" s="50"/>
      <c r="M31" s="50"/>
      <c r="N31" s="42"/>
    </row>
    <row r="32" spans="1:14" ht="15">
      <c r="A32" s="51"/>
      <c r="B32" s="62"/>
      <c r="C32" s="53"/>
      <c r="D32" s="36"/>
      <c r="E32" s="53"/>
      <c r="F32" s="61"/>
      <c r="G32" s="61"/>
      <c r="H32" s="53"/>
      <c r="I32" s="55"/>
      <c r="J32" s="56"/>
      <c r="K32" s="50"/>
      <c r="L32" s="50"/>
      <c r="M32" s="50"/>
      <c r="N32" s="42"/>
    </row>
    <row r="33" spans="1:14" ht="15">
      <c r="A33" s="51"/>
      <c r="B33" s="62"/>
      <c r="C33" s="53"/>
      <c r="D33" s="9"/>
      <c r="E33" s="53"/>
      <c r="F33" s="61"/>
      <c r="G33" s="61"/>
      <c r="H33" s="53"/>
      <c r="I33" s="55"/>
      <c r="J33" s="56"/>
      <c r="K33" s="50"/>
      <c r="L33" s="50"/>
      <c r="M33" s="50"/>
      <c r="N33" s="42"/>
    </row>
    <row r="34" spans="1:14" ht="15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50"/>
      <c r="N34" s="42"/>
    </row>
    <row r="35" spans="1:14" ht="15">
      <c r="A35" s="51"/>
      <c r="B35" s="62"/>
      <c r="C35" s="53"/>
      <c r="D35" s="36"/>
      <c r="E35" s="53"/>
      <c r="F35" s="61"/>
      <c r="G35" s="61"/>
      <c r="H35" s="53"/>
      <c r="I35" s="55"/>
      <c r="J35" s="56"/>
      <c r="K35" s="50"/>
      <c r="L35" s="50"/>
      <c r="M35" s="50"/>
      <c r="N35" s="42"/>
    </row>
    <row r="36" spans="1:14" ht="15">
      <c r="A36" s="51"/>
      <c r="B36" s="62"/>
      <c r="C36" s="53"/>
      <c r="D36" s="63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 ht="15">
      <c r="A37" s="20"/>
      <c r="B37" s="21"/>
      <c r="C37" s="22"/>
      <c r="D37" s="21"/>
      <c r="E37" s="21"/>
      <c r="F37" s="21"/>
      <c r="G37" s="21"/>
      <c r="H37" s="21"/>
      <c r="I37" s="23"/>
      <c r="J37" s="25"/>
      <c r="K37" s="24"/>
      <c r="L37" s="24"/>
      <c r="M37" s="24"/>
      <c r="N37" s="42"/>
    </row>
    <row r="38" spans="1:14" ht="15">
      <c r="A38" s="20"/>
      <c r="B38" s="21"/>
      <c r="C38" s="22"/>
      <c r="D38" s="21"/>
      <c r="E38" s="21"/>
      <c r="F38" s="21"/>
      <c r="G38" s="21"/>
      <c r="H38" s="21"/>
      <c r="J38" s="25"/>
      <c r="K38" s="24"/>
      <c r="L38" s="24"/>
    </row>
    <row r="39" spans="1:14" ht="15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M39" s="27"/>
    </row>
    <row r="40" spans="1:14" ht="15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SUM(M2:M36)</f>
        <v>3180</v>
      </c>
      <c r="N40" s="26">
        <f>SUM(N2:N36)</f>
        <v>210</v>
      </c>
    </row>
    <row r="41" spans="1:14" ht="15">
      <c r="C41" s="30"/>
    </row>
    <row r="42" spans="1:14" ht="15">
      <c r="C42" s="30"/>
    </row>
    <row r="43" spans="1:14" ht="15">
      <c r="C43" s="30"/>
    </row>
    <row r="44" spans="1:14" ht="15">
      <c r="C44" s="30"/>
    </row>
    <row r="45" spans="1:14" ht="15">
      <c r="C45" s="30"/>
    </row>
    <row r="46" spans="1:14" ht="15">
      <c r="C46" s="30"/>
    </row>
    <row r="47" spans="1:14" ht="15">
      <c r="C47" s="30"/>
    </row>
    <row r="48" spans="1:14" ht="15">
      <c r="C48" s="30"/>
    </row>
    <row r="49" spans="3:3" ht="15">
      <c r="C49" s="30"/>
    </row>
    <row r="50" spans="3:3" ht="15">
      <c r="C50" s="30"/>
    </row>
    <row r="51" spans="3:3" ht="15">
      <c r="C51" s="30"/>
    </row>
    <row r="52" spans="3:3" ht="15">
      <c r="C52" s="30"/>
    </row>
    <row r="53" spans="3:3" ht="15">
      <c r="C53" s="30"/>
    </row>
    <row r="54" spans="3:3" ht="15">
      <c r="C54" s="30"/>
    </row>
    <row r="55" spans="3:3" ht="15">
      <c r="C55" s="30"/>
    </row>
    <row r="56" spans="3:3" ht="15">
      <c r="C56" s="30"/>
    </row>
    <row r="57" spans="3:3" ht="15">
      <c r="C57" s="30"/>
    </row>
    <row r="58" spans="3:3" ht="15">
      <c r="C58" s="30"/>
    </row>
    <row r="59" spans="3:3" ht="15">
      <c r="C59" s="30"/>
    </row>
    <row r="60" spans="3:3" ht="15">
      <c r="C60" s="30"/>
    </row>
    <row r="61" spans="3:3" ht="15">
      <c r="C61" s="30"/>
    </row>
    <row r="62" spans="3:3" ht="15">
      <c r="C62" s="30"/>
    </row>
    <row r="63" spans="3:3" ht="15">
      <c r="C63" s="30"/>
    </row>
    <row r="64" spans="3:3" ht="15">
      <c r="C64" s="30"/>
    </row>
    <row r="65" spans="3:3" ht="15">
      <c r="C65" s="30"/>
    </row>
    <row r="66" spans="3:3" ht="15">
      <c r="C66" s="30"/>
    </row>
    <row r="67" spans="3:3" ht="15">
      <c r="C67" s="30"/>
    </row>
    <row r="68" spans="3:3" ht="15">
      <c r="C68" s="30"/>
    </row>
    <row r="69" spans="3:3" ht="15">
      <c r="C69" s="30"/>
    </row>
    <row r="70" spans="3:3" ht="15">
      <c r="C70" s="30"/>
    </row>
    <row r="71" spans="3:3" ht="15">
      <c r="C71" s="30"/>
    </row>
    <row r="72" spans="3:3" ht="15">
      <c r="C72" s="30"/>
    </row>
    <row r="73" spans="3:3" ht="15">
      <c r="C73" s="30"/>
    </row>
    <row r="74" spans="3:3" ht="15">
      <c r="C74" s="30"/>
    </row>
    <row r="75" spans="3:3" ht="15">
      <c r="C75" s="30"/>
    </row>
    <row r="76" spans="3:3" ht="15">
      <c r="C76" s="30"/>
    </row>
    <row r="77" spans="3:3" ht="15">
      <c r="C77" s="30"/>
    </row>
    <row r="78" spans="3:3" ht="15">
      <c r="C78" s="30"/>
    </row>
    <row r="79" spans="3:3" ht="15">
      <c r="C79" s="30"/>
    </row>
    <row r="80" spans="3:3" ht="15">
      <c r="C80" s="30"/>
    </row>
    <row r="81" spans="3:3" ht="15">
      <c r="C81" s="30"/>
    </row>
    <row r="82" spans="3:3" ht="15">
      <c r="C82" s="30"/>
    </row>
    <row r="83" spans="3:3" ht="15">
      <c r="C83" s="30"/>
    </row>
    <row r="84" spans="3:3" ht="15">
      <c r="C84" s="30"/>
    </row>
    <row r="85" spans="3:3" ht="15">
      <c r="C85" s="30"/>
    </row>
    <row r="86" spans="3:3" ht="15">
      <c r="C86" s="30"/>
    </row>
    <row r="87" spans="3:3" ht="15">
      <c r="C87" s="30"/>
    </row>
    <row r="88" spans="3:3" ht="15">
      <c r="C88" s="30"/>
    </row>
    <row r="89" spans="3:3" ht="15">
      <c r="C89" s="30"/>
    </row>
    <row r="90" spans="3:3" ht="15">
      <c r="C90" s="30"/>
    </row>
    <row r="91" spans="3:3" ht="15">
      <c r="C91" s="30"/>
    </row>
    <row r="92" spans="3:3" ht="15">
      <c r="C92" s="30"/>
    </row>
    <row r="93" spans="3:3" ht="15">
      <c r="C93" s="30"/>
    </row>
    <row r="94" spans="3:3" ht="15">
      <c r="C94" s="30"/>
    </row>
    <row r="95" spans="3:3" ht="15">
      <c r="C95" s="30"/>
    </row>
    <row r="96" spans="3:3" ht="15">
      <c r="C96" s="30"/>
    </row>
    <row r="97" spans="3:3" ht="15">
      <c r="C97" s="30"/>
    </row>
    <row r="98" spans="3:3" ht="15">
      <c r="C98" s="30"/>
    </row>
    <row r="99" spans="3:3" ht="15">
      <c r="C99" s="30"/>
    </row>
    <row r="100" spans="3:3" ht="15">
      <c r="C100" s="30"/>
    </row>
    <row r="101" spans="3:3" ht="15">
      <c r="C101" s="30"/>
    </row>
    <row r="102" spans="3:3" ht="15">
      <c r="C102" s="30"/>
    </row>
    <row r="103" spans="3:3" ht="15">
      <c r="C103" s="30"/>
    </row>
    <row r="104" spans="3:3" ht="15">
      <c r="C104" s="30"/>
    </row>
    <row r="105" spans="3:3" ht="15">
      <c r="C105" s="30"/>
    </row>
    <row r="106" spans="3:3" ht="15">
      <c r="C106" s="30"/>
    </row>
    <row r="107" spans="3:3" ht="15">
      <c r="C107" s="30"/>
    </row>
    <row r="108" spans="3:3" ht="15">
      <c r="C108" s="30"/>
    </row>
    <row r="109" spans="3:3" ht="15">
      <c r="C109" s="30"/>
    </row>
    <row r="110" spans="3:3" ht="15">
      <c r="C110" s="30"/>
    </row>
    <row r="111" spans="3:3" ht="15">
      <c r="C111" s="30"/>
    </row>
    <row r="112" spans="3:3" ht="15">
      <c r="C112" s="30"/>
    </row>
    <row r="113" spans="3:3" ht="15">
      <c r="C113" s="30"/>
    </row>
    <row r="114" spans="3:3" ht="15">
      <c r="C114" s="30"/>
    </row>
    <row r="115" spans="3:3" ht="15">
      <c r="C115" s="30"/>
    </row>
    <row r="116" spans="3:3" ht="15">
      <c r="C116" s="30"/>
    </row>
    <row r="117" spans="3:3" ht="15">
      <c r="C117" s="30"/>
    </row>
    <row r="118" spans="3:3" ht="15">
      <c r="C118" s="30"/>
    </row>
    <row r="119" spans="3:3" ht="15">
      <c r="C119" s="30"/>
    </row>
    <row r="120" spans="3:3" ht="15">
      <c r="C120" s="30"/>
    </row>
    <row r="121" spans="3:3" ht="15">
      <c r="C121" s="30"/>
    </row>
    <row r="122" spans="3:3" ht="15">
      <c r="C122" s="30"/>
    </row>
    <row r="123" spans="3:3" ht="15">
      <c r="C123" s="30"/>
    </row>
    <row r="124" spans="3:3" ht="15">
      <c r="C124" s="30"/>
    </row>
    <row r="125" spans="3:3" ht="15">
      <c r="C125" s="30"/>
    </row>
    <row r="126" spans="3:3" ht="15">
      <c r="C126" s="30"/>
    </row>
    <row r="127" spans="3:3" ht="15">
      <c r="C127" s="30"/>
    </row>
    <row r="128" spans="3:3" ht="15">
      <c r="C128" s="30"/>
    </row>
    <row r="129" spans="3:3" ht="15">
      <c r="C129" s="30"/>
    </row>
    <row r="130" spans="3:3" ht="15">
      <c r="C130" s="30"/>
    </row>
    <row r="131" spans="3:3" ht="15">
      <c r="C131" s="30"/>
    </row>
    <row r="132" spans="3:3" ht="15">
      <c r="C132" s="30"/>
    </row>
    <row r="133" spans="3:3" ht="15"/>
  </sheetData>
  <autoFilter ref="A1:N36" xr:uid="{B03BE716-9814-4947-BFA0-97E1A819D1C1}"/>
  <phoneticPr fontId="11" type="noConversion"/>
  <pageMargins left="0.7" right="0.7" top="0.75" bottom="0.75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3E0C-EF20-4C1B-9744-92DB78F1A9F9}">
  <dimension ref="A1:P133"/>
  <sheetViews>
    <sheetView topLeftCell="C1" zoomScale="49" zoomScaleNormal="49" workbookViewId="0">
      <selection activeCell="D8" sqref="D8:D10"/>
    </sheetView>
  </sheetViews>
  <sheetFormatPr defaultColWidth="8.75" defaultRowHeight="15"/>
  <cols>
    <col min="1" max="1" width="11" style="29" customWidth="1"/>
    <col min="3" max="3" width="60.7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1" customFormat="1" ht="17.25" customHeight="1">
      <c r="A2" s="144" t="s">
        <v>170</v>
      </c>
      <c r="B2" s="46">
        <v>4.1666666666666664E-2</v>
      </c>
      <c r="C2" s="92" t="s">
        <v>104</v>
      </c>
      <c r="D2" s="256" t="s">
        <v>151</v>
      </c>
      <c r="E2" s="102" t="s">
        <v>34</v>
      </c>
      <c r="F2" s="112">
        <v>4.1666666666666664E-2</v>
      </c>
      <c r="G2" s="112">
        <v>6.1111111111111109E-2</v>
      </c>
      <c r="H2" s="39"/>
      <c r="I2" s="41"/>
      <c r="J2" s="175" t="s">
        <v>171</v>
      </c>
      <c r="K2" s="176">
        <v>60</v>
      </c>
      <c r="L2" s="177">
        <v>400</v>
      </c>
      <c r="M2" s="42">
        <f t="shared" ref="M2:M38" si="0">SUM(K2:L2)</f>
        <v>460</v>
      </c>
      <c r="N2" s="42">
        <v>30</v>
      </c>
    </row>
    <row r="3" spans="1:16" s="111" customFormat="1" ht="17.25" customHeight="1">
      <c r="A3" s="144" t="s">
        <v>172</v>
      </c>
      <c r="B3" s="46">
        <v>0.10416666666666667</v>
      </c>
      <c r="C3" s="92" t="s">
        <v>104</v>
      </c>
      <c r="D3" s="256" t="s">
        <v>151</v>
      </c>
      <c r="E3" s="180" t="s">
        <v>34</v>
      </c>
      <c r="F3" s="112">
        <v>0.10416666666666667</v>
      </c>
      <c r="G3" s="112">
        <v>0.125</v>
      </c>
      <c r="H3" s="92"/>
      <c r="I3" s="113"/>
      <c r="J3" s="175" t="s">
        <v>171</v>
      </c>
      <c r="K3" s="176">
        <v>60</v>
      </c>
      <c r="L3" s="177">
        <v>400</v>
      </c>
      <c r="M3" s="42">
        <f t="shared" si="0"/>
        <v>460</v>
      </c>
      <c r="N3" s="42">
        <v>30</v>
      </c>
    </row>
    <row r="4" spans="1:16" s="111" customFormat="1" ht="17.25" customHeight="1">
      <c r="A4" s="144" t="s">
        <v>173</v>
      </c>
      <c r="B4" s="46">
        <v>0.21527777777777779</v>
      </c>
      <c r="C4" s="92" t="s">
        <v>83</v>
      </c>
      <c r="D4" s="256" t="s">
        <v>151</v>
      </c>
      <c r="E4" s="180" t="s">
        <v>34</v>
      </c>
      <c r="F4" s="112">
        <v>0.18402777777777779</v>
      </c>
      <c r="G4" s="112">
        <v>0.2048611111111111</v>
      </c>
      <c r="H4" s="92"/>
      <c r="I4" s="113"/>
      <c r="J4" s="43" t="s">
        <v>130</v>
      </c>
      <c r="K4" s="42">
        <v>95</v>
      </c>
      <c r="L4" s="161">
        <v>400</v>
      </c>
      <c r="M4" s="42">
        <f t="shared" si="0"/>
        <v>495</v>
      </c>
      <c r="N4" s="42">
        <v>30</v>
      </c>
    </row>
    <row r="5" spans="1:16" s="111" customFormat="1" ht="17.25" customHeight="1">
      <c r="A5" s="144" t="s">
        <v>173</v>
      </c>
      <c r="B5" s="46">
        <v>0.21527777777777779</v>
      </c>
      <c r="C5" s="92" t="s">
        <v>83</v>
      </c>
      <c r="D5" s="7" t="s">
        <v>42</v>
      </c>
      <c r="E5" s="180" t="s">
        <v>34</v>
      </c>
      <c r="F5" s="112">
        <v>0.18402777777777779</v>
      </c>
      <c r="G5" s="112">
        <v>0.2048611111111111</v>
      </c>
      <c r="H5" s="92"/>
      <c r="I5" s="113"/>
      <c r="J5" s="43" t="s">
        <v>130</v>
      </c>
      <c r="K5" s="42">
        <v>95</v>
      </c>
      <c r="L5" s="161">
        <v>400</v>
      </c>
      <c r="M5" s="42">
        <f t="shared" ref="M5" si="1">SUM(K5:L5)</f>
        <v>495</v>
      </c>
      <c r="N5" s="42">
        <v>30</v>
      </c>
    </row>
    <row r="6" spans="1:16" s="6" customFormat="1" ht="17.25" customHeight="1">
      <c r="A6" s="162" t="s">
        <v>174</v>
      </c>
      <c r="B6" s="48">
        <v>0.21527777777777779</v>
      </c>
      <c r="C6" s="162" t="s">
        <v>48</v>
      </c>
      <c r="D6" s="7" t="s">
        <v>175</v>
      </c>
      <c r="E6" s="39" t="s">
        <v>34</v>
      </c>
      <c r="F6" s="112">
        <v>0.21527777777777779</v>
      </c>
      <c r="G6" s="112">
        <v>0.2361111111111111</v>
      </c>
      <c r="H6" s="39"/>
      <c r="I6" s="41"/>
      <c r="J6" s="43" t="s">
        <v>171</v>
      </c>
      <c r="K6" s="176">
        <v>60</v>
      </c>
      <c r="L6" s="177">
        <v>400</v>
      </c>
      <c r="M6" s="42">
        <f t="shared" si="0"/>
        <v>460</v>
      </c>
      <c r="N6" s="42">
        <v>30</v>
      </c>
    </row>
    <row r="7" spans="1:16" s="6" customFormat="1" ht="17.25" customHeight="1">
      <c r="A7" s="90" t="s">
        <v>176</v>
      </c>
      <c r="B7" s="48">
        <v>0.37152777777777779</v>
      </c>
      <c r="C7" s="39" t="s">
        <v>48</v>
      </c>
      <c r="D7" s="92" t="s">
        <v>51</v>
      </c>
      <c r="E7" s="39" t="s">
        <v>34</v>
      </c>
      <c r="F7" s="40">
        <v>0.37013888888888891</v>
      </c>
      <c r="G7" s="40">
        <v>0.38750000000000001</v>
      </c>
      <c r="H7" s="49"/>
      <c r="I7" s="41"/>
      <c r="J7" s="43"/>
      <c r="K7" s="42"/>
      <c r="L7" s="161">
        <v>400</v>
      </c>
      <c r="M7" s="42">
        <f t="shared" si="0"/>
        <v>400</v>
      </c>
      <c r="N7" s="42">
        <v>30</v>
      </c>
    </row>
    <row r="8" spans="1:16" s="6" customFormat="1" ht="17.25" customHeight="1">
      <c r="A8" s="90" t="s">
        <v>177</v>
      </c>
      <c r="B8" s="99">
        <v>0.38541666666666669</v>
      </c>
      <c r="C8" s="39" t="s">
        <v>178</v>
      </c>
      <c r="D8" s="100" t="s">
        <v>99</v>
      </c>
      <c r="E8" s="39" t="s">
        <v>34</v>
      </c>
      <c r="F8" s="40">
        <v>0.38541666666666669</v>
      </c>
      <c r="G8" s="40">
        <v>0.40625</v>
      </c>
      <c r="H8" s="39"/>
      <c r="I8" s="41"/>
      <c r="J8" s="160"/>
      <c r="K8" s="176"/>
      <c r="L8" s="177">
        <v>400</v>
      </c>
      <c r="M8" s="42">
        <f t="shared" si="0"/>
        <v>400</v>
      </c>
      <c r="N8" s="42">
        <v>30</v>
      </c>
    </row>
    <row r="9" spans="1:16" s="6" customFormat="1" ht="17.25" customHeight="1">
      <c r="A9" s="90" t="s">
        <v>177</v>
      </c>
      <c r="B9" s="99">
        <v>0.38541666666666669</v>
      </c>
      <c r="C9" s="39" t="s">
        <v>178</v>
      </c>
      <c r="D9" s="100" t="s">
        <v>51</v>
      </c>
      <c r="E9" s="39" t="s">
        <v>34</v>
      </c>
      <c r="F9" s="40">
        <v>0.38541666666666669</v>
      </c>
      <c r="G9" s="40">
        <v>0.40625</v>
      </c>
      <c r="H9" s="39"/>
      <c r="I9" s="41"/>
      <c r="J9" s="160" t="s">
        <v>40</v>
      </c>
      <c r="K9" s="176">
        <v>35</v>
      </c>
      <c r="L9" s="177">
        <v>400</v>
      </c>
      <c r="M9" s="42">
        <f t="shared" ref="M9" si="2">SUM(K9:L9)</f>
        <v>435</v>
      </c>
      <c r="N9" s="42">
        <v>30</v>
      </c>
    </row>
    <row r="10" spans="1:16" s="6" customFormat="1" ht="17.25" customHeight="1">
      <c r="A10" s="90" t="s">
        <v>179</v>
      </c>
      <c r="B10" s="99">
        <v>0.45833333333333331</v>
      </c>
      <c r="C10" s="39" t="s">
        <v>104</v>
      </c>
      <c r="D10" s="100" t="s">
        <v>51</v>
      </c>
      <c r="E10" s="39" t="s">
        <v>34</v>
      </c>
      <c r="F10" s="40">
        <v>0.4597222222222222</v>
      </c>
      <c r="G10" s="40">
        <v>0.4826388888888889</v>
      </c>
      <c r="H10" s="39"/>
      <c r="I10" s="41"/>
      <c r="J10" s="160"/>
      <c r="K10" s="176"/>
      <c r="L10" s="177">
        <v>400</v>
      </c>
      <c r="M10" s="42">
        <f t="shared" si="0"/>
        <v>400</v>
      </c>
      <c r="N10" s="42">
        <v>30</v>
      </c>
    </row>
    <row r="11" spans="1:16" ht="17.25" customHeight="1">
      <c r="A11" s="45" t="s">
        <v>180</v>
      </c>
      <c r="B11" s="99">
        <v>0.47916666666666669</v>
      </c>
      <c r="C11" s="92" t="s">
        <v>181</v>
      </c>
      <c r="D11" s="255" t="s">
        <v>99</v>
      </c>
      <c r="E11" s="102" t="s">
        <v>34</v>
      </c>
      <c r="F11" s="112">
        <v>0.4861111111111111</v>
      </c>
      <c r="G11" s="112">
        <v>0.51388888888888884</v>
      </c>
      <c r="H11" s="39"/>
      <c r="I11" s="41"/>
      <c r="J11" s="175"/>
      <c r="K11" s="176"/>
      <c r="L11" s="177">
        <v>400</v>
      </c>
      <c r="M11" s="42">
        <f t="shared" si="0"/>
        <v>400</v>
      </c>
      <c r="N11" s="42">
        <v>30</v>
      </c>
    </row>
    <row r="12" spans="1:16" ht="17.25" customHeight="1">
      <c r="A12" s="45" t="s">
        <v>180</v>
      </c>
      <c r="B12" s="99">
        <v>0.47916666666666669</v>
      </c>
      <c r="C12" s="92" t="s">
        <v>181</v>
      </c>
      <c r="D12" s="255" t="s">
        <v>182</v>
      </c>
      <c r="E12" s="102" t="s">
        <v>34</v>
      </c>
      <c r="F12" s="112">
        <v>0.4861111111111111</v>
      </c>
      <c r="G12" s="112">
        <v>0.51388888888888884</v>
      </c>
      <c r="H12" s="39"/>
      <c r="I12" s="41"/>
      <c r="J12" s="175" t="s">
        <v>66</v>
      </c>
      <c r="K12" s="176">
        <v>35</v>
      </c>
      <c r="L12" s="177">
        <v>400</v>
      </c>
      <c r="M12" s="42">
        <f t="shared" ref="M12" si="3">SUM(K12:L12)</f>
        <v>435</v>
      </c>
      <c r="N12" s="42">
        <v>30</v>
      </c>
    </row>
    <row r="13" spans="1:16" ht="17.25" customHeight="1">
      <c r="A13" s="253" t="s">
        <v>183</v>
      </c>
      <c r="B13" s="167">
        <v>0.52083333333333337</v>
      </c>
      <c r="C13" s="164" t="s">
        <v>104</v>
      </c>
      <c r="D13" s="120" t="s">
        <v>99</v>
      </c>
      <c r="E13" s="92" t="s">
        <v>34</v>
      </c>
      <c r="F13" s="112">
        <v>0.53472222222222221</v>
      </c>
      <c r="G13" s="112">
        <v>0.55555555555555558</v>
      </c>
      <c r="H13" s="92"/>
      <c r="I13" s="113"/>
      <c r="J13" s="175"/>
      <c r="K13" s="42"/>
      <c r="L13" s="44">
        <v>400</v>
      </c>
      <c r="M13" s="156">
        <f t="shared" si="0"/>
        <v>400</v>
      </c>
      <c r="N13" s="42">
        <v>30</v>
      </c>
    </row>
    <row r="14" spans="1:16" ht="17.25" customHeight="1">
      <c r="A14" s="253" t="s">
        <v>184</v>
      </c>
      <c r="B14" s="167">
        <v>0.52083333333333337</v>
      </c>
      <c r="C14" s="164" t="s">
        <v>185</v>
      </c>
      <c r="D14" s="92" t="s">
        <v>65</v>
      </c>
      <c r="E14" s="92" t="s">
        <v>34</v>
      </c>
      <c r="F14" s="112">
        <v>0.52083333333333337</v>
      </c>
      <c r="G14" s="112">
        <v>0.6875</v>
      </c>
      <c r="H14" s="92"/>
      <c r="I14" s="113"/>
      <c r="J14" s="175" t="s">
        <v>186</v>
      </c>
      <c r="K14" s="42">
        <v>60</v>
      </c>
      <c r="L14" s="44">
        <v>920</v>
      </c>
      <c r="M14" s="156">
        <f t="shared" si="0"/>
        <v>980</v>
      </c>
      <c r="N14" s="42">
        <v>30</v>
      </c>
      <c r="O14" s="143"/>
      <c r="P14" s="143" t="s">
        <v>187</v>
      </c>
    </row>
    <row r="15" spans="1:16" s="6" customFormat="1" ht="17.25" customHeight="1">
      <c r="A15" s="158" t="s">
        <v>188</v>
      </c>
      <c r="B15" s="309">
        <v>0.52083333333333337</v>
      </c>
      <c r="C15" s="164" t="s">
        <v>189</v>
      </c>
      <c r="D15" s="166" t="s">
        <v>51</v>
      </c>
      <c r="E15" s="164" t="s">
        <v>34</v>
      </c>
      <c r="F15" s="165">
        <v>0.57499999999999996</v>
      </c>
      <c r="G15" s="165">
        <v>0.59722222222222221</v>
      </c>
      <c r="H15" s="164"/>
      <c r="I15" s="160"/>
      <c r="J15" s="160" t="s">
        <v>190</v>
      </c>
      <c r="K15" s="176">
        <v>125</v>
      </c>
      <c r="L15" s="177">
        <v>400</v>
      </c>
      <c r="M15" s="156">
        <f t="shared" si="0"/>
        <v>525</v>
      </c>
      <c r="N15" s="42">
        <v>30</v>
      </c>
    </row>
    <row r="16" spans="1:16" ht="17.25" customHeight="1">
      <c r="A16" s="47" t="s">
        <v>191</v>
      </c>
      <c r="B16" s="48">
        <v>0.36458333333333331</v>
      </c>
      <c r="C16" s="39" t="s">
        <v>192</v>
      </c>
      <c r="D16" s="60" t="s">
        <v>193</v>
      </c>
      <c r="E16" s="39" t="s">
        <v>34</v>
      </c>
      <c r="F16" s="40">
        <v>0.36458333333333331</v>
      </c>
      <c r="G16" s="40">
        <v>0.73958333333333337</v>
      </c>
      <c r="H16" s="39"/>
      <c r="I16" s="41"/>
      <c r="J16" s="43" t="s">
        <v>194</v>
      </c>
      <c r="K16" s="42">
        <v>180</v>
      </c>
      <c r="L16" s="44">
        <v>2070</v>
      </c>
      <c r="M16" s="156">
        <f t="shared" si="0"/>
        <v>2250</v>
      </c>
      <c r="N16" s="42">
        <v>30</v>
      </c>
      <c r="P16" t="s">
        <v>195</v>
      </c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6">
        <f t="shared" si="0"/>
        <v>0</v>
      </c>
      <c r="N17" s="42"/>
    </row>
    <row r="18" spans="1:14" ht="17.25" customHeigh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175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43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7">
        <f>SUM(M2:M39)</f>
        <v>8995</v>
      </c>
      <c r="N40" s="27">
        <f>SUM(N2:N39)</f>
        <v>450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6"/>
      <c r="N41" s="26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</sheetData>
  <sortState xmlns:xlrd2="http://schemas.microsoft.com/office/spreadsheetml/2017/richdata2" ref="A2:N133">
    <sortCondition ref="B2:B133"/>
  </sortState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9AE7-71D3-4350-B204-C03F4C7E3267}">
  <dimension ref="A1:P1048576"/>
  <sheetViews>
    <sheetView topLeftCell="C1" zoomScale="69" zoomScaleNormal="69" workbookViewId="0"/>
  </sheetViews>
  <sheetFormatPr defaultColWidth="8.75" defaultRowHeight="15"/>
  <cols>
    <col min="1" max="1" width="10.625" style="29" customWidth="1"/>
    <col min="3" max="3" width="60.25" customWidth="1"/>
    <col min="4" max="4" width="27.25" customWidth="1"/>
    <col min="5" max="5" width="11" customWidth="1"/>
    <col min="6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 ht="17.25" customHeight="1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1" customFormat="1" ht="18" customHeight="1">
      <c r="A2" s="100">
        <v>545534</v>
      </c>
      <c r="B2" s="99">
        <v>0.1388888888888889</v>
      </c>
      <c r="C2" s="92" t="s">
        <v>104</v>
      </c>
      <c r="D2" s="100" t="s">
        <v>51</v>
      </c>
      <c r="E2" s="157" t="s">
        <v>34</v>
      </c>
      <c r="F2" s="112">
        <v>0.13750000000000001</v>
      </c>
      <c r="G2" s="112">
        <v>0.15625</v>
      </c>
      <c r="H2" s="157"/>
      <c r="I2" s="178"/>
      <c r="J2" s="175" t="s">
        <v>35</v>
      </c>
      <c r="K2" s="176">
        <v>60</v>
      </c>
      <c r="L2" s="177">
        <v>400</v>
      </c>
      <c r="M2" s="42">
        <f t="shared" ref="M2:M11" si="0">SUM(K2:L2)</f>
        <v>460</v>
      </c>
      <c r="N2" s="42">
        <v>30</v>
      </c>
    </row>
    <row r="3" spans="1:16" s="111" customFormat="1" ht="18" customHeight="1">
      <c r="A3" s="90" t="s">
        <v>196</v>
      </c>
      <c r="B3" s="48">
        <v>0.15972222222222221</v>
      </c>
      <c r="C3" s="100" t="s">
        <v>197</v>
      </c>
      <c r="D3" s="280" t="s">
        <v>51</v>
      </c>
      <c r="E3" s="39" t="s">
        <v>34</v>
      </c>
      <c r="F3" s="40">
        <v>0.16527777777777777</v>
      </c>
      <c r="G3" s="40">
        <v>0.18402777777777779</v>
      </c>
      <c r="H3" s="39"/>
      <c r="I3" s="41"/>
      <c r="J3" s="41" t="s">
        <v>198</v>
      </c>
      <c r="K3" s="42">
        <v>95</v>
      </c>
      <c r="L3" s="44">
        <v>400</v>
      </c>
      <c r="M3" s="42">
        <f t="shared" si="0"/>
        <v>495</v>
      </c>
      <c r="N3" s="42">
        <v>30</v>
      </c>
    </row>
    <row r="4" spans="1:16" s="111" customFormat="1" ht="18" customHeight="1">
      <c r="A4" s="90" t="s">
        <v>196</v>
      </c>
      <c r="B4" s="48">
        <v>0.15972222222222221</v>
      </c>
      <c r="C4" s="100" t="s">
        <v>197</v>
      </c>
      <c r="D4" s="280" t="s">
        <v>110</v>
      </c>
      <c r="E4" s="39" t="s">
        <v>34</v>
      </c>
      <c r="F4" s="40">
        <v>0.16527777777777777</v>
      </c>
      <c r="G4" s="40">
        <v>0.18402777777777779</v>
      </c>
      <c r="H4" s="39"/>
      <c r="I4" s="41"/>
      <c r="J4" s="41" t="s">
        <v>198</v>
      </c>
      <c r="K4" s="42">
        <v>95</v>
      </c>
      <c r="L4" s="44">
        <v>400</v>
      </c>
      <c r="M4" s="42">
        <f t="shared" ref="M4" si="1">SUM(K4:L4)</f>
        <v>495</v>
      </c>
      <c r="N4" s="42">
        <v>30</v>
      </c>
    </row>
    <row r="5" spans="1:16" s="111" customFormat="1" ht="18" customHeight="1">
      <c r="A5" s="90" t="s">
        <v>199</v>
      </c>
      <c r="B5" s="48">
        <v>0.2013888888888889</v>
      </c>
      <c r="C5" s="100" t="s">
        <v>104</v>
      </c>
      <c r="D5" s="100" t="s">
        <v>99</v>
      </c>
      <c r="E5" s="39" t="s">
        <v>34</v>
      </c>
      <c r="F5" s="40">
        <v>0.2048611111111111</v>
      </c>
      <c r="G5" s="40">
        <v>0.22569444444444445</v>
      </c>
      <c r="H5" s="39"/>
      <c r="I5" s="41"/>
      <c r="J5" s="41" t="s">
        <v>35</v>
      </c>
      <c r="K5" s="42">
        <v>60</v>
      </c>
      <c r="L5" s="44">
        <v>400</v>
      </c>
      <c r="M5" s="42">
        <f t="shared" si="0"/>
        <v>460</v>
      </c>
      <c r="N5" s="42">
        <v>30</v>
      </c>
    </row>
    <row r="6" spans="1:16" s="111" customFormat="1" ht="18" customHeight="1">
      <c r="A6" s="288" t="s">
        <v>200</v>
      </c>
      <c r="B6" s="48">
        <v>0.28125</v>
      </c>
      <c r="C6" s="92" t="s">
        <v>201</v>
      </c>
      <c r="D6" s="256" t="s">
        <v>151</v>
      </c>
      <c r="E6" s="92" t="s">
        <v>34</v>
      </c>
      <c r="F6" s="112">
        <v>0.28125</v>
      </c>
      <c r="G6" s="112">
        <v>0.65972222222222221</v>
      </c>
      <c r="H6" s="92"/>
      <c r="I6" s="113"/>
      <c r="J6" s="43" t="s">
        <v>202</v>
      </c>
      <c r="K6" s="42">
        <v>290</v>
      </c>
      <c r="L6" s="161">
        <v>2070</v>
      </c>
      <c r="M6" s="42">
        <f t="shared" si="0"/>
        <v>2360</v>
      </c>
      <c r="N6" s="42">
        <v>30</v>
      </c>
      <c r="P6" s="111" t="s">
        <v>203</v>
      </c>
    </row>
    <row r="7" spans="1:16" s="6" customFormat="1" ht="18" customHeight="1">
      <c r="A7" s="144" t="s">
        <v>204</v>
      </c>
      <c r="B7" s="46">
        <v>0.61805555555555558</v>
      </c>
      <c r="C7" s="92" t="s">
        <v>205</v>
      </c>
      <c r="D7" s="256" t="s">
        <v>51</v>
      </c>
      <c r="E7" s="180" t="s">
        <v>34</v>
      </c>
      <c r="F7" s="112">
        <v>0.65972222222222221</v>
      </c>
      <c r="G7" s="112">
        <v>0.68611111111111112</v>
      </c>
      <c r="H7" s="92"/>
      <c r="I7" s="113"/>
      <c r="J7" s="175" t="s">
        <v>40</v>
      </c>
      <c r="K7" s="176">
        <v>35</v>
      </c>
      <c r="L7" s="177">
        <v>400</v>
      </c>
      <c r="M7" s="42">
        <f t="shared" si="0"/>
        <v>435</v>
      </c>
      <c r="N7" s="42">
        <v>30</v>
      </c>
      <c r="O7" s="111"/>
      <c r="P7" s="111"/>
    </row>
    <row r="8" spans="1:16" s="6" customFormat="1" ht="18" customHeight="1">
      <c r="A8" s="144" t="s">
        <v>206</v>
      </c>
      <c r="B8" s="46">
        <v>0.70833333333333337</v>
      </c>
      <c r="C8" s="92" t="s">
        <v>48</v>
      </c>
      <c r="D8" s="100" t="s">
        <v>51</v>
      </c>
      <c r="E8" s="180" t="s">
        <v>34</v>
      </c>
      <c r="F8" s="112">
        <v>0.74305555555555558</v>
      </c>
      <c r="G8" s="112">
        <v>0.76388888888888884</v>
      </c>
      <c r="H8" s="92"/>
      <c r="I8" s="113"/>
      <c r="J8" s="175"/>
      <c r="K8" s="176"/>
      <c r="L8" s="177">
        <v>400</v>
      </c>
      <c r="M8" s="42">
        <f t="shared" si="0"/>
        <v>400</v>
      </c>
      <c r="N8" s="42">
        <v>30</v>
      </c>
      <c r="O8" s="111"/>
      <c r="P8" s="111"/>
    </row>
    <row r="9" spans="1:16" s="6" customFormat="1" ht="18" customHeight="1">
      <c r="A9" s="144" t="s">
        <v>206</v>
      </c>
      <c r="B9" s="46">
        <v>0.70833333333333337</v>
      </c>
      <c r="C9" s="92" t="s">
        <v>48</v>
      </c>
      <c r="D9" s="100" t="s">
        <v>207</v>
      </c>
      <c r="E9" s="180" t="s">
        <v>34</v>
      </c>
      <c r="F9" s="112">
        <v>0.74305555555555558</v>
      </c>
      <c r="G9" s="112">
        <v>0.76388888888888884</v>
      </c>
      <c r="H9" s="92"/>
      <c r="I9" s="113"/>
      <c r="J9" s="175"/>
      <c r="K9" s="176"/>
      <c r="L9" s="177">
        <v>400</v>
      </c>
      <c r="M9" s="42">
        <f t="shared" ref="M9" si="2">SUM(K9:L9)</f>
        <v>400</v>
      </c>
      <c r="N9" s="42">
        <v>30</v>
      </c>
      <c r="O9" s="111"/>
      <c r="P9" s="111"/>
    </row>
    <row r="10" spans="1:16" s="71" customFormat="1" ht="18" customHeight="1">
      <c r="A10" s="100">
        <v>545721</v>
      </c>
      <c r="B10" s="99">
        <v>0.70138888888888884</v>
      </c>
      <c r="C10" s="100" t="s">
        <v>64</v>
      </c>
      <c r="D10" s="100" t="s">
        <v>208</v>
      </c>
      <c r="E10" s="102" t="s">
        <v>34</v>
      </c>
      <c r="F10" s="40">
        <v>0.78472222222222221</v>
      </c>
      <c r="G10" s="40">
        <v>0.80555555555555558</v>
      </c>
      <c r="H10" s="49"/>
      <c r="I10" s="41"/>
      <c r="J10" s="43" t="s">
        <v>40</v>
      </c>
      <c r="K10" s="42">
        <v>35</v>
      </c>
      <c r="L10" s="44">
        <v>400</v>
      </c>
      <c r="M10" s="42">
        <f t="shared" si="0"/>
        <v>435</v>
      </c>
      <c r="N10" s="42">
        <v>30</v>
      </c>
      <c r="O10" s="151"/>
      <c r="P10" s="151"/>
    </row>
    <row r="11" spans="1:16" s="71" customFormat="1" ht="18" customHeight="1">
      <c r="A11" s="100"/>
      <c r="B11" s="99"/>
      <c r="C11" s="100"/>
      <c r="D11" s="100"/>
      <c r="E11" s="102"/>
      <c r="F11" s="40"/>
      <c r="G11" s="40"/>
      <c r="H11" s="49"/>
      <c r="I11" s="41"/>
      <c r="J11" s="43"/>
      <c r="K11" s="42"/>
      <c r="L11" s="44"/>
      <c r="M11" s="42">
        <f t="shared" si="0"/>
        <v>0</v>
      </c>
      <c r="N11" s="42"/>
      <c r="O11" s="151"/>
      <c r="P11" s="151"/>
    </row>
    <row r="12" spans="1:16" ht="18" customHeight="1">
      <c r="A12" s="162"/>
      <c r="B12" s="119"/>
      <c r="C12" s="92"/>
      <c r="D12" s="120"/>
      <c r="E12" s="39"/>
      <c r="F12" s="40"/>
      <c r="G12" s="40"/>
      <c r="H12" s="39"/>
      <c r="I12" s="41"/>
      <c r="J12" s="43"/>
      <c r="K12" s="42"/>
      <c r="L12" s="44"/>
      <c r="M12" s="42"/>
      <c r="N12" s="42"/>
    </row>
    <row r="13" spans="1:16" ht="18" customHeight="1">
      <c r="A13" s="90"/>
      <c r="B13" s="91"/>
      <c r="C13" s="39"/>
      <c r="D13" s="7"/>
      <c r="E13" s="102"/>
      <c r="F13" s="40"/>
      <c r="G13" s="40"/>
      <c r="H13" s="39"/>
      <c r="I13" s="41"/>
      <c r="J13" s="43"/>
      <c r="K13" s="42"/>
      <c r="L13" s="44"/>
      <c r="M13" s="42"/>
      <c r="N13" s="42"/>
    </row>
    <row r="14" spans="1:16" ht="18" customHeight="1">
      <c r="A14" s="47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42"/>
      <c r="N14" s="42"/>
    </row>
    <row r="15" spans="1:16">
      <c r="A15" s="45"/>
      <c r="B15" s="48"/>
      <c r="C15" s="39"/>
      <c r="D15" s="7"/>
      <c r="E15" s="39"/>
      <c r="F15" s="40"/>
      <c r="G15" s="40"/>
      <c r="H15" s="39"/>
      <c r="I15" s="41"/>
      <c r="J15" s="43"/>
      <c r="K15" s="42"/>
      <c r="L15" s="44"/>
      <c r="M15" s="50"/>
      <c r="N15" s="42"/>
    </row>
    <row r="16" spans="1:16">
      <c r="A16" s="45"/>
      <c r="B16" s="46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50"/>
      <c r="N16" s="42"/>
    </row>
    <row r="17" spans="1:14">
      <c r="A17" s="47"/>
      <c r="B17" s="48"/>
      <c r="C17" s="39"/>
      <c r="D17" s="60"/>
      <c r="E17" s="39"/>
      <c r="F17" s="40"/>
      <c r="G17" s="40"/>
      <c r="H17" s="39"/>
      <c r="I17" s="41"/>
      <c r="J17" s="43"/>
      <c r="K17" s="42"/>
      <c r="L17" s="44"/>
      <c r="M17" s="50"/>
      <c r="N17" s="42"/>
    </row>
    <row r="18" spans="1:14">
      <c r="A18" s="45"/>
      <c r="B18" s="46"/>
      <c r="C18" s="39"/>
      <c r="D18" s="7"/>
      <c r="E18" s="39"/>
      <c r="F18" s="40"/>
      <c r="G18" s="40"/>
      <c r="H18" s="39"/>
      <c r="I18" s="41"/>
      <c r="J18" s="43"/>
      <c r="K18" s="42"/>
      <c r="L18" s="42"/>
      <c r="M18" s="50"/>
      <c r="N18" s="42"/>
    </row>
    <row r="19" spans="1:14">
      <c r="A19" s="1"/>
      <c r="B19" s="8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50"/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>
      <c r="A24" s="51"/>
      <c r="B24" s="62"/>
      <c r="C24" s="53"/>
      <c r="D24" s="63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>
      <c r="A25" s="51"/>
      <c r="B25" s="62"/>
      <c r="C25" s="53"/>
      <c r="D25" s="53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>
      <c r="A27" s="51"/>
      <c r="B27" s="62"/>
      <c r="C27" s="53"/>
      <c r="D27" s="64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>
      <c r="A29" s="51"/>
      <c r="B29" s="62"/>
      <c r="C29" s="53"/>
      <c r="D29" s="9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50"/>
      <c r="N31" s="42"/>
    </row>
    <row r="32" spans="1:14">
      <c r="A32" s="51"/>
      <c r="B32" s="62"/>
      <c r="C32" s="53"/>
      <c r="D32" s="63"/>
      <c r="E32" s="10"/>
      <c r="F32" s="61"/>
      <c r="G32" s="61"/>
      <c r="H32" s="10"/>
      <c r="I32" s="11"/>
      <c r="J32" s="13"/>
      <c r="K32" s="12"/>
      <c r="L32" s="12"/>
      <c r="M32" s="50"/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20"/>
      <c r="B35" s="21"/>
      <c r="C35" s="22"/>
      <c r="D35" s="21"/>
      <c r="E35" s="21"/>
      <c r="F35" s="21"/>
      <c r="G35" s="21"/>
      <c r="H35" s="21"/>
      <c r="J35" s="25"/>
      <c r="K35" s="24"/>
      <c r="L35" s="24"/>
      <c r="N35" s="42"/>
    </row>
    <row r="36" spans="1:14">
      <c r="A36" s="20"/>
      <c r="B36" s="21"/>
      <c r="C36" s="22"/>
      <c r="D36" s="21"/>
      <c r="E36" s="21"/>
      <c r="F36" s="21"/>
      <c r="G36" s="21"/>
      <c r="H36" s="21"/>
      <c r="J36" s="25"/>
      <c r="K36" s="24"/>
      <c r="L36" s="24"/>
      <c r="M36" s="27"/>
      <c r="N36" s="42"/>
    </row>
    <row r="37" spans="1:14">
      <c r="A37" s="20"/>
      <c r="B37" s="21"/>
      <c r="C37" s="22"/>
      <c r="D37" s="21"/>
      <c r="E37" s="21"/>
      <c r="F37" s="21"/>
      <c r="G37" s="21"/>
      <c r="H37" s="21"/>
      <c r="J37" s="25"/>
      <c r="K37" s="24"/>
      <c r="L37" s="24"/>
      <c r="N37" s="42"/>
    </row>
    <row r="38" spans="1:14">
      <c r="C38" s="30"/>
    </row>
    <row r="39" spans="1:14">
      <c r="C39" s="30"/>
    </row>
    <row r="40" spans="1:14">
      <c r="C40" s="30"/>
      <c r="M40" s="26">
        <f>SUM(M2:M34)</f>
        <v>5940</v>
      </c>
      <c r="N40" s="26">
        <f>SUM(N2:N34)</f>
        <v>270</v>
      </c>
    </row>
    <row r="41" spans="1:14">
      <c r="C41" s="30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048576" spans="2:2">
      <c r="B1048576" s="299"/>
    </row>
  </sheetData>
  <sortState xmlns:xlrd2="http://schemas.microsoft.com/office/spreadsheetml/2017/richdata2" ref="A2:N137">
    <sortCondition ref="B2:B137"/>
  </sortState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F536-1ACC-490B-9656-C935534BD7EC}">
  <sheetPr filterMode="1"/>
  <dimension ref="A1:P133"/>
  <sheetViews>
    <sheetView topLeftCell="B1" zoomScale="79" zoomScaleNormal="79" workbookViewId="0">
      <selection activeCell="D12" sqref="D12"/>
    </sheetView>
  </sheetViews>
  <sheetFormatPr defaultColWidth="8.75" defaultRowHeight="15"/>
  <cols>
    <col min="1" max="1" width="10.75" style="29" customWidth="1"/>
    <col min="3" max="3" width="60.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90" t="s">
        <v>17</v>
      </c>
      <c r="B1" s="147" t="s">
        <v>18</v>
      </c>
      <c r="C1" s="147" t="s">
        <v>54</v>
      </c>
      <c r="D1" s="95" t="s">
        <v>20</v>
      </c>
      <c r="E1" s="95" t="s">
        <v>21</v>
      </c>
      <c r="F1" s="95" t="s">
        <v>22</v>
      </c>
      <c r="G1" s="95" t="s">
        <v>23</v>
      </c>
      <c r="H1" s="95" t="s">
        <v>24</v>
      </c>
      <c r="I1" s="96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71" customFormat="1" ht="18" customHeight="1">
      <c r="A2" s="100">
        <v>545897</v>
      </c>
      <c r="B2" s="99">
        <v>0.19444444444444445</v>
      </c>
      <c r="C2" s="100" t="s">
        <v>209</v>
      </c>
      <c r="D2" s="100" t="s">
        <v>208</v>
      </c>
      <c r="E2" s="102" t="s">
        <v>34</v>
      </c>
      <c r="F2" s="40">
        <v>0.19444444444444445</v>
      </c>
      <c r="G2" s="40">
        <v>0.21736111111111112</v>
      </c>
      <c r="H2" s="49"/>
      <c r="I2" s="41"/>
      <c r="J2" s="43" t="s">
        <v>210</v>
      </c>
      <c r="K2" s="42">
        <v>95</v>
      </c>
      <c r="L2" s="44">
        <v>400</v>
      </c>
      <c r="M2" s="42">
        <f t="shared" ref="M2" si="0">SUM(K2:L2)</f>
        <v>495</v>
      </c>
      <c r="N2" s="42">
        <v>30</v>
      </c>
      <c r="O2" s="151"/>
      <c r="P2" s="151"/>
    </row>
    <row r="3" spans="1:16" s="111" customFormat="1" ht="17.25" customHeight="1">
      <c r="A3" s="162" t="s">
        <v>211</v>
      </c>
      <c r="B3" s="119">
        <v>0.1875</v>
      </c>
      <c r="C3" s="92" t="s">
        <v>161</v>
      </c>
      <c r="D3" s="7" t="s">
        <v>212</v>
      </c>
      <c r="E3" s="324" t="s">
        <v>34</v>
      </c>
      <c r="F3" s="112">
        <v>0.18611111111111112</v>
      </c>
      <c r="G3" s="112">
        <v>0.2048611111111111</v>
      </c>
      <c r="H3" s="49"/>
      <c r="I3" s="41"/>
      <c r="J3" s="56" t="s">
        <v>105</v>
      </c>
      <c r="K3" s="50">
        <v>60</v>
      </c>
      <c r="L3" s="57">
        <v>400</v>
      </c>
      <c r="M3" s="50">
        <f t="shared" ref="M3:M37" si="1">SUBTOTAL(9,K3:L3)</f>
        <v>460</v>
      </c>
      <c r="N3" s="42">
        <v>30</v>
      </c>
      <c r="O3" s="216"/>
    </row>
    <row r="4" spans="1:16" s="111" customFormat="1" ht="17.25" customHeight="1">
      <c r="A4" s="162" t="s">
        <v>213</v>
      </c>
      <c r="B4" s="119">
        <v>0.16666666666666666</v>
      </c>
      <c r="C4" s="199" t="s">
        <v>115</v>
      </c>
      <c r="D4" s="120" t="s">
        <v>214</v>
      </c>
      <c r="E4" s="92" t="s">
        <v>34</v>
      </c>
      <c r="F4" s="112">
        <v>0.17708333333333334</v>
      </c>
      <c r="G4" s="112">
        <v>0.19444444444444445</v>
      </c>
      <c r="H4" s="39"/>
      <c r="I4" s="113"/>
      <c r="J4" s="285" t="s">
        <v>210</v>
      </c>
      <c r="K4" s="42">
        <v>95</v>
      </c>
      <c r="L4" s="44">
        <v>400</v>
      </c>
      <c r="M4" s="50">
        <f t="shared" si="1"/>
        <v>495</v>
      </c>
      <c r="N4" s="42">
        <v>30</v>
      </c>
    </row>
    <row r="5" spans="1:16" s="111" customFormat="1" ht="17.25" customHeight="1">
      <c r="A5" s="162" t="s">
        <v>213</v>
      </c>
      <c r="B5" s="119">
        <v>0.16666666666666666</v>
      </c>
      <c r="C5" s="199" t="s">
        <v>115</v>
      </c>
      <c r="D5" s="120" t="s">
        <v>215</v>
      </c>
      <c r="E5" s="92" t="s">
        <v>34</v>
      </c>
      <c r="F5" s="112">
        <v>0.17708333333333334</v>
      </c>
      <c r="G5" s="112">
        <v>0.19444444444444445</v>
      </c>
      <c r="H5" s="39"/>
      <c r="I5" s="113"/>
      <c r="J5" s="285" t="s">
        <v>210</v>
      </c>
      <c r="K5" s="42">
        <v>95</v>
      </c>
      <c r="L5" s="44">
        <v>400</v>
      </c>
      <c r="M5" s="50">
        <f t="shared" ref="M5" si="2">SUBTOTAL(9,K5:L5)</f>
        <v>495</v>
      </c>
      <c r="N5" s="42">
        <v>30</v>
      </c>
    </row>
    <row r="6" spans="1:16" ht="17.25" customHeight="1">
      <c r="A6" s="319" t="s">
        <v>216</v>
      </c>
      <c r="B6" s="48">
        <v>0.125</v>
      </c>
      <c r="C6" s="298" t="s">
        <v>161</v>
      </c>
      <c r="D6" s="39" t="s">
        <v>214</v>
      </c>
      <c r="E6" s="39" t="s">
        <v>34</v>
      </c>
      <c r="F6" s="112">
        <v>0.12430555555555556</v>
      </c>
      <c r="G6" s="112">
        <v>0.13750000000000001</v>
      </c>
      <c r="H6" s="39"/>
      <c r="I6" s="41"/>
      <c r="J6" s="175" t="s">
        <v>105</v>
      </c>
      <c r="K6" s="42">
        <v>60</v>
      </c>
      <c r="L6" s="42">
        <v>400</v>
      </c>
      <c r="M6" s="50">
        <f t="shared" si="1"/>
        <v>460</v>
      </c>
      <c r="N6" s="42">
        <v>30</v>
      </c>
    </row>
    <row r="7" spans="1:16" ht="17.25" customHeight="1">
      <c r="A7" s="158" t="s">
        <v>217</v>
      </c>
      <c r="B7" s="163">
        <v>0.36805555555555558</v>
      </c>
      <c r="C7" s="164" t="s">
        <v>218</v>
      </c>
      <c r="D7" s="256" t="s">
        <v>151</v>
      </c>
      <c r="E7" s="164" t="s">
        <v>34</v>
      </c>
      <c r="F7" s="165">
        <v>0.37152777777777779</v>
      </c>
      <c r="G7" s="165">
        <v>0.3888888888888889</v>
      </c>
      <c r="H7" s="164"/>
      <c r="I7" s="160"/>
      <c r="J7" s="285"/>
      <c r="K7" s="286"/>
      <c r="L7" s="286">
        <v>400</v>
      </c>
      <c r="M7" s="50">
        <f t="shared" si="1"/>
        <v>400</v>
      </c>
      <c r="N7" s="42">
        <v>30</v>
      </c>
    </row>
    <row r="8" spans="1:16" ht="17.25" customHeight="1">
      <c r="A8" s="90" t="s">
        <v>219</v>
      </c>
      <c r="B8" s="48">
        <v>0.40972222222222221</v>
      </c>
      <c r="C8" s="100" t="s">
        <v>220</v>
      </c>
      <c r="D8" s="120" t="s">
        <v>151</v>
      </c>
      <c r="E8" s="39" t="s">
        <v>34</v>
      </c>
      <c r="F8" s="40">
        <v>0.39583333333333331</v>
      </c>
      <c r="G8" s="40">
        <v>0.41666666666666669</v>
      </c>
      <c r="H8" s="39"/>
      <c r="I8" s="41"/>
      <c r="J8" s="56" t="s">
        <v>40</v>
      </c>
      <c r="K8" s="50">
        <v>35</v>
      </c>
      <c r="L8" s="50">
        <v>400</v>
      </c>
      <c r="M8" s="50">
        <f t="shared" si="1"/>
        <v>435</v>
      </c>
      <c r="N8" s="42">
        <v>30</v>
      </c>
    </row>
    <row r="9" spans="1:16" ht="17.25" customHeight="1">
      <c r="A9" s="90" t="s">
        <v>221</v>
      </c>
      <c r="B9" s="48">
        <v>0.39583333333333331</v>
      </c>
      <c r="C9" s="100" t="s">
        <v>222</v>
      </c>
      <c r="D9" s="100" t="s">
        <v>223</v>
      </c>
      <c r="E9" s="39" t="s">
        <v>34</v>
      </c>
      <c r="F9" s="40">
        <v>0.39583333333333331</v>
      </c>
      <c r="G9" s="40">
        <v>0.41666666666666669</v>
      </c>
      <c r="H9" s="39"/>
      <c r="I9" s="41"/>
      <c r="J9" s="56" t="s">
        <v>100</v>
      </c>
      <c r="K9" s="50">
        <v>40</v>
      </c>
      <c r="L9" s="50">
        <v>460</v>
      </c>
      <c r="M9" s="50">
        <f t="shared" si="1"/>
        <v>500</v>
      </c>
      <c r="N9" s="42">
        <v>30</v>
      </c>
    </row>
    <row r="10" spans="1:16" ht="17.25" customHeight="1">
      <c r="A10" s="100">
        <v>545884</v>
      </c>
      <c r="B10" s="99">
        <v>0.39583333333333331</v>
      </c>
      <c r="C10" s="39" t="s">
        <v>224</v>
      </c>
      <c r="D10" s="100" t="s">
        <v>51</v>
      </c>
      <c r="E10" s="39" t="s">
        <v>34</v>
      </c>
      <c r="F10" s="40">
        <v>0.39583333333333331</v>
      </c>
      <c r="G10" s="40">
        <v>0.49444444444444446</v>
      </c>
      <c r="H10" s="39"/>
      <c r="I10" s="41"/>
      <c r="J10" s="175" t="s">
        <v>225</v>
      </c>
      <c r="K10" s="176">
        <v>276</v>
      </c>
      <c r="L10" s="176">
        <v>920</v>
      </c>
      <c r="M10" s="50">
        <f t="shared" si="1"/>
        <v>1196</v>
      </c>
      <c r="N10" s="42">
        <v>30</v>
      </c>
    </row>
    <row r="11" spans="1:16" ht="17.25" customHeight="1">
      <c r="A11" s="90" t="s">
        <v>226</v>
      </c>
      <c r="B11" s="48">
        <v>0.5625</v>
      </c>
      <c r="C11" s="39" t="s">
        <v>227</v>
      </c>
      <c r="D11" s="7" t="s">
        <v>151</v>
      </c>
      <c r="E11" s="39" t="s">
        <v>34</v>
      </c>
      <c r="F11" s="40">
        <v>0.56944444444444442</v>
      </c>
      <c r="G11" s="40">
        <v>0.59027777777777779</v>
      </c>
      <c r="H11" s="39"/>
      <c r="I11" s="41"/>
      <c r="J11" s="56"/>
      <c r="K11" s="50"/>
      <c r="L11" s="50">
        <v>500</v>
      </c>
      <c r="M11" s="50">
        <f t="shared" si="1"/>
        <v>500</v>
      </c>
      <c r="N11" s="42">
        <v>30</v>
      </c>
    </row>
    <row r="12" spans="1:16" ht="17.25" customHeight="1">
      <c r="A12" s="90" t="s">
        <v>228</v>
      </c>
      <c r="B12" s="153">
        <v>0.64583333333333337</v>
      </c>
      <c r="C12" s="39" t="s">
        <v>229</v>
      </c>
      <c r="D12" s="120" t="s">
        <v>51</v>
      </c>
      <c r="E12" s="39" t="s">
        <v>34</v>
      </c>
      <c r="F12" s="40">
        <v>0.69166666666666665</v>
      </c>
      <c r="G12" s="40">
        <v>0.71527777777777779</v>
      </c>
      <c r="H12" s="39"/>
      <c r="I12" s="41"/>
      <c r="J12" s="56" t="s">
        <v>40</v>
      </c>
      <c r="K12" s="50">
        <v>35</v>
      </c>
      <c r="L12" s="50">
        <v>400</v>
      </c>
      <c r="M12" s="50">
        <f t="shared" si="1"/>
        <v>435</v>
      </c>
      <c r="N12" s="42">
        <v>30</v>
      </c>
    </row>
    <row r="13" spans="1:16" ht="17.25" customHeight="1">
      <c r="A13" s="154" t="s">
        <v>230</v>
      </c>
      <c r="B13" s="153">
        <v>0.79166666666666663</v>
      </c>
      <c r="C13" s="148" t="s">
        <v>231</v>
      </c>
      <c r="D13" s="94" t="s">
        <v>223</v>
      </c>
      <c r="E13" s="39" t="s">
        <v>34</v>
      </c>
      <c r="F13" s="40">
        <v>0.8125</v>
      </c>
      <c r="G13" s="40">
        <v>0.84027777777777779</v>
      </c>
      <c r="H13" s="39"/>
      <c r="I13" s="41"/>
      <c r="J13" s="322"/>
      <c r="K13" s="50"/>
      <c r="L13" s="50">
        <v>400</v>
      </c>
      <c r="M13" s="50">
        <f t="shared" si="1"/>
        <v>400</v>
      </c>
      <c r="N13" s="42">
        <v>30</v>
      </c>
    </row>
    <row r="14" spans="1:16" ht="17.25" customHeight="1">
      <c r="A14" s="90"/>
      <c r="B14" s="91"/>
      <c r="C14" s="39"/>
      <c r="D14" s="95"/>
      <c r="E14" s="39"/>
      <c r="F14" s="40"/>
      <c r="G14" s="40"/>
      <c r="H14" s="39"/>
      <c r="I14" s="41"/>
      <c r="J14" s="56"/>
      <c r="K14" s="50"/>
      <c r="L14" s="50"/>
      <c r="M14" s="50">
        <f t="shared" si="1"/>
        <v>0</v>
      </c>
      <c r="N14" s="42"/>
    </row>
    <row r="15" spans="1:16" ht="17.25" customHeight="1">
      <c r="A15" s="51"/>
      <c r="B15" s="62"/>
      <c r="C15" s="53"/>
      <c r="D15" s="36"/>
      <c r="E15" s="53"/>
      <c r="F15" s="61"/>
      <c r="G15" s="61"/>
      <c r="H15" s="53"/>
      <c r="I15" s="55"/>
      <c r="J15" s="56"/>
      <c r="K15" s="50"/>
      <c r="L15" s="50"/>
      <c r="M15" s="50">
        <f t="shared" si="1"/>
        <v>0</v>
      </c>
      <c r="N15" s="42"/>
    </row>
    <row r="16" spans="1:16" ht="17.25" customHeight="1">
      <c r="A16" s="51"/>
      <c r="B16" s="62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50">
        <f t="shared" si="1"/>
        <v>0</v>
      </c>
      <c r="N16" s="42"/>
    </row>
    <row r="17" spans="1:14" ht="17.25" customHeight="1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50">
        <f t="shared" si="1"/>
        <v>0</v>
      </c>
      <c r="N17" s="42"/>
    </row>
    <row r="18" spans="1:14" ht="17.25" customHeight="1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50">
        <f t="shared" si="1"/>
        <v>0</v>
      </c>
      <c r="N18" s="42"/>
    </row>
    <row r="19" spans="1:14" ht="17.25" customHeight="1">
      <c r="A19" s="51"/>
      <c r="B19" s="62"/>
      <c r="C19" s="53"/>
      <c r="D19" s="63"/>
      <c r="E19" s="53"/>
      <c r="F19" s="61"/>
      <c r="G19" s="61"/>
      <c r="H19" s="53"/>
      <c r="I19" s="55"/>
      <c r="J19" s="56"/>
      <c r="K19" s="50"/>
      <c r="L19" s="50"/>
      <c r="M19" s="50">
        <f t="shared" si="1"/>
        <v>0</v>
      </c>
      <c r="N19" s="42"/>
    </row>
    <row r="20" spans="1:14" ht="17.25" customHeight="1">
      <c r="A20" s="51"/>
      <c r="B20" s="62"/>
      <c r="C20" s="53"/>
      <c r="D20" s="53"/>
      <c r="E20" s="53"/>
      <c r="F20" s="61"/>
      <c r="G20" s="61"/>
      <c r="H20" s="53"/>
      <c r="I20" s="55"/>
      <c r="J20" s="56"/>
      <c r="K20" s="50"/>
      <c r="L20" s="50"/>
      <c r="M20" s="50">
        <f t="shared" si="1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>
        <f t="shared" si="1"/>
        <v>0</v>
      </c>
      <c r="N21" s="42"/>
    </row>
    <row r="22" spans="1:14">
      <c r="A22" s="51"/>
      <c r="B22" s="62"/>
      <c r="C22" s="53"/>
      <c r="D22" s="64"/>
      <c r="E22" s="53"/>
      <c r="F22" s="61"/>
      <c r="G22" s="61"/>
      <c r="H22" s="53"/>
      <c r="I22" s="55"/>
      <c r="J22" s="56"/>
      <c r="K22" s="50"/>
      <c r="L22" s="50"/>
      <c r="M22" s="50">
        <f t="shared" si="1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>
        <f t="shared" si="1"/>
        <v>0</v>
      </c>
      <c r="N23" s="42"/>
    </row>
    <row r="24" spans="1:14">
      <c r="A24" s="51"/>
      <c r="B24" s="62"/>
      <c r="C24" s="53"/>
      <c r="D24" s="9"/>
      <c r="E24" s="53"/>
      <c r="F24" s="61"/>
      <c r="G24" s="61"/>
      <c r="H24" s="53"/>
      <c r="I24" s="55"/>
      <c r="J24" s="56"/>
      <c r="K24" s="50"/>
      <c r="L24" s="50"/>
      <c r="M24" s="50">
        <f t="shared" si="1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50">
        <f t="shared" si="1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50">
        <f t="shared" si="1"/>
        <v>0</v>
      </c>
      <c r="N26" s="42"/>
    </row>
    <row r="27" spans="1:14">
      <c r="A27" s="51"/>
      <c r="B27" s="62"/>
      <c r="C27" s="53"/>
      <c r="D27" s="63"/>
      <c r="E27" s="10"/>
      <c r="F27" s="61"/>
      <c r="G27" s="61"/>
      <c r="H27" s="10"/>
      <c r="I27" s="11"/>
      <c r="J27" s="13"/>
      <c r="K27" s="12"/>
      <c r="L27" s="12"/>
      <c r="M27" s="50">
        <f t="shared" si="1"/>
        <v>0</v>
      </c>
      <c r="N27" s="42"/>
    </row>
    <row r="28" spans="1:14">
      <c r="A28" s="14"/>
      <c r="B28" s="15"/>
      <c r="C28" s="10"/>
      <c r="D28" s="36"/>
      <c r="E28" s="10"/>
      <c r="F28" s="61"/>
      <c r="G28" s="61"/>
      <c r="H28" s="10"/>
      <c r="I28" s="11"/>
      <c r="J28" s="13"/>
      <c r="K28" s="12"/>
      <c r="L28" s="12"/>
      <c r="M28" s="50">
        <f t="shared" si="1"/>
        <v>0</v>
      </c>
      <c r="N28" s="42"/>
    </row>
    <row r="29" spans="1:14">
      <c r="A29" s="14"/>
      <c r="B29" s="15"/>
      <c r="C29" s="10"/>
      <c r="D29" s="16"/>
      <c r="E29" s="10"/>
      <c r="F29" s="61"/>
      <c r="G29" s="61"/>
      <c r="H29" s="10"/>
      <c r="I29" s="11"/>
      <c r="J29" s="13"/>
      <c r="K29" s="12"/>
      <c r="L29" s="12"/>
      <c r="M29" s="50">
        <f t="shared" si="1"/>
        <v>0</v>
      </c>
      <c r="N29" s="42"/>
    </row>
    <row r="30" spans="1:14">
      <c r="A30" s="14"/>
      <c r="B30" s="15"/>
      <c r="C30" s="10"/>
      <c r="D30" s="16"/>
      <c r="E30" s="10"/>
      <c r="F30" s="61"/>
      <c r="G30" s="61"/>
      <c r="H30" s="10"/>
      <c r="I30" s="11"/>
      <c r="J30" s="13"/>
      <c r="K30" s="12"/>
      <c r="L30" s="12"/>
      <c r="M30" s="50">
        <f t="shared" si="1"/>
        <v>0</v>
      </c>
      <c r="N30" s="42"/>
    </row>
    <row r="31" spans="1:14">
      <c r="A31" s="14"/>
      <c r="B31" s="15"/>
      <c r="C31" s="10"/>
      <c r="D31" s="36"/>
      <c r="E31" s="10"/>
      <c r="F31" s="61"/>
      <c r="G31" s="61"/>
      <c r="H31" s="10"/>
      <c r="I31" s="11"/>
      <c r="J31" s="13"/>
      <c r="K31" s="12"/>
      <c r="L31" s="12"/>
      <c r="M31" s="50">
        <f t="shared" si="1"/>
        <v>0</v>
      </c>
      <c r="N31" s="42"/>
    </row>
    <row r="32" spans="1:14">
      <c r="A32" s="17"/>
      <c r="B32" s="18"/>
      <c r="C32" s="10"/>
      <c r="D32" s="19"/>
      <c r="E32" s="10"/>
      <c r="F32" s="61"/>
      <c r="G32" s="61"/>
      <c r="H32" s="10"/>
      <c r="I32" s="11"/>
      <c r="J32" s="13"/>
      <c r="K32" s="12"/>
      <c r="L32" s="12"/>
      <c r="M32" s="50">
        <f t="shared" si="1"/>
        <v>0</v>
      </c>
      <c r="N32" s="42"/>
    </row>
    <row r="33" spans="1:14">
      <c r="A33" s="17"/>
      <c r="B33" s="18"/>
      <c r="C33" s="10"/>
      <c r="D33" s="19"/>
      <c r="E33" s="10"/>
      <c r="F33" s="61"/>
      <c r="G33" s="61"/>
      <c r="H33" s="10"/>
      <c r="I33" s="11"/>
      <c r="J33" s="13"/>
      <c r="K33" s="12"/>
      <c r="L33" s="12"/>
      <c r="M33" s="50">
        <f t="shared" si="1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50">
        <f t="shared" si="1"/>
        <v>0</v>
      </c>
      <c r="N34" s="42"/>
    </row>
    <row r="35" spans="1:14">
      <c r="A35" s="14"/>
      <c r="B35" s="15"/>
      <c r="C35" s="10"/>
      <c r="D35" s="64"/>
      <c r="E35" s="10"/>
      <c r="F35" s="61"/>
      <c r="G35" s="61"/>
      <c r="H35" s="10"/>
      <c r="I35" s="11"/>
      <c r="J35" s="13"/>
      <c r="K35" s="12"/>
      <c r="L35" s="12"/>
      <c r="M35" s="50">
        <f t="shared" si="1"/>
        <v>0</v>
      </c>
      <c r="N35" s="42"/>
    </row>
    <row r="36" spans="1:14">
      <c r="A36" s="14"/>
      <c r="B36" s="15"/>
      <c r="C36" s="53"/>
      <c r="D36" s="64"/>
      <c r="E36" s="53"/>
      <c r="F36" s="62"/>
      <c r="G36" s="62"/>
      <c r="H36" s="53"/>
      <c r="I36" s="55"/>
      <c r="J36" s="56"/>
      <c r="K36" s="50"/>
      <c r="L36" s="50"/>
      <c r="M36" s="50">
        <f t="shared" si="1"/>
        <v>0</v>
      </c>
      <c r="N36" s="42"/>
    </row>
    <row r="37" spans="1:14">
      <c r="A37" s="51"/>
      <c r="B37" s="62"/>
      <c r="C37" s="53"/>
      <c r="D37" s="36"/>
      <c r="E37" s="53"/>
      <c r="F37" s="62"/>
      <c r="G37" s="62"/>
      <c r="H37" s="53"/>
      <c r="I37" s="55"/>
      <c r="J37" s="56"/>
      <c r="K37" s="50"/>
      <c r="L37" s="50"/>
      <c r="M37" s="50">
        <f t="shared" si="1"/>
        <v>0</v>
      </c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5"/>
      <c r="K38" s="24"/>
      <c r="L38" s="24"/>
      <c r="M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6271</v>
      </c>
      <c r="N40" s="26">
        <f>SUM(N2:N39)</f>
        <v>360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</sheetData>
  <autoFilter ref="A1:N37" xr:uid="{F6870828-3943-40F0-96A1-1B9B64BDA811}">
    <filterColumn colId="3">
      <filters blank="1">
        <filter val="LZ4100 Joe 63183898"/>
        <filter val="NY1494 Mr.To 56215122"/>
      </filters>
    </filterColumn>
    <sortState xmlns:xlrd2="http://schemas.microsoft.com/office/spreadsheetml/2017/richdata2" ref="A2:N37">
      <sortCondition ref="B1:B37"/>
    </sortState>
  </autoFilter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E98D-C62A-44BA-8CFD-F9CEFEF7B52A}">
  <dimension ref="A1:P132"/>
  <sheetViews>
    <sheetView topLeftCell="C19" workbookViewId="0">
      <selection activeCell="D20" sqref="D20"/>
    </sheetView>
  </sheetViews>
  <sheetFormatPr defaultColWidth="8.75" defaultRowHeight="15"/>
  <cols>
    <col min="1" max="1" width="10.25" style="29" customWidth="1"/>
    <col min="3" max="3" width="59.87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1" customFormat="1" ht="17.25" customHeight="1">
      <c r="A2" s="90" t="s">
        <v>232</v>
      </c>
      <c r="B2" s="48">
        <v>0.16666666666666666</v>
      </c>
      <c r="C2" s="39" t="s">
        <v>233</v>
      </c>
      <c r="D2" s="7" t="s">
        <v>88</v>
      </c>
      <c r="E2" s="39" t="s">
        <v>34</v>
      </c>
      <c r="F2" s="40">
        <v>0.16319444444444445</v>
      </c>
      <c r="G2" s="40">
        <v>0.16597222222222222</v>
      </c>
      <c r="H2" s="39"/>
      <c r="I2" s="41"/>
      <c r="J2" s="43" t="s">
        <v>171</v>
      </c>
      <c r="K2" s="42">
        <v>60</v>
      </c>
      <c r="L2" s="44">
        <v>250</v>
      </c>
      <c r="M2" s="42">
        <f t="shared" ref="M2:M36" si="0">SUM(K2:L2)</f>
        <v>310</v>
      </c>
      <c r="N2" s="42">
        <v>30</v>
      </c>
    </row>
    <row r="3" spans="1:14" s="111" customFormat="1" ht="17.25" customHeight="1">
      <c r="A3" s="90" t="s">
        <v>234</v>
      </c>
      <c r="B3" s="48">
        <v>0.19791666666666666</v>
      </c>
      <c r="C3" s="39" t="s">
        <v>48</v>
      </c>
      <c r="D3" s="256" t="s">
        <v>99</v>
      </c>
      <c r="E3" s="39" t="s">
        <v>34</v>
      </c>
      <c r="F3" s="40">
        <v>0.20277777777777778</v>
      </c>
      <c r="G3" s="40">
        <v>0.22152777777777777</v>
      </c>
      <c r="H3" s="39"/>
      <c r="I3" s="41"/>
      <c r="J3" s="43" t="s">
        <v>171</v>
      </c>
      <c r="K3" s="42">
        <v>60</v>
      </c>
      <c r="L3" s="44">
        <v>400</v>
      </c>
      <c r="M3" s="42">
        <f t="shared" si="0"/>
        <v>460</v>
      </c>
      <c r="N3" s="42">
        <v>30</v>
      </c>
    </row>
    <row r="4" spans="1:14" s="111" customFormat="1" ht="17.25" customHeight="1">
      <c r="A4" s="162" t="s">
        <v>235</v>
      </c>
      <c r="B4" s="248">
        <v>0.19444444444444445</v>
      </c>
      <c r="C4" s="92" t="s">
        <v>64</v>
      </c>
      <c r="D4" s="120" t="s">
        <v>88</v>
      </c>
      <c r="E4" s="92" t="s">
        <v>34</v>
      </c>
      <c r="F4" s="112">
        <v>0.2298611111111111</v>
      </c>
      <c r="G4" s="112">
        <v>0.24722222222222223</v>
      </c>
      <c r="H4" s="92"/>
      <c r="I4" s="113"/>
      <c r="J4" s="160" t="s">
        <v>236</v>
      </c>
      <c r="K4" s="42">
        <v>95</v>
      </c>
      <c r="L4" s="44">
        <v>400</v>
      </c>
      <c r="M4" s="42">
        <f t="shared" si="0"/>
        <v>495</v>
      </c>
      <c r="N4" s="42">
        <v>30</v>
      </c>
    </row>
    <row r="5" spans="1:14" s="111" customFormat="1" ht="17.25" customHeight="1">
      <c r="A5" s="162" t="s">
        <v>235</v>
      </c>
      <c r="B5" s="248">
        <v>0.19444444444444445</v>
      </c>
      <c r="C5" s="92" t="s">
        <v>64</v>
      </c>
      <c r="D5" s="120" t="s">
        <v>99</v>
      </c>
      <c r="E5" s="92" t="s">
        <v>34</v>
      </c>
      <c r="F5" s="112">
        <v>0.2298611111111111</v>
      </c>
      <c r="G5" s="112">
        <v>0.24722222222222223</v>
      </c>
      <c r="H5" s="92"/>
      <c r="I5" s="113"/>
      <c r="J5" s="160" t="s">
        <v>171</v>
      </c>
      <c r="K5" s="42">
        <v>60</v>
      </c>
      <c r="L5" s="44">
        <v>400</v>
      </c>
      <c r="M5" s="42">
        <f t="shared" ref="M5" si="1">SUM(K5:L5)</f>
        <v>460</v>
      </c>
      <c r="N5" s="42">
        <v>30</v>
      </c>
    </row>
    <row r="6" spans="1:14" s="111" customFormat="1" ht="17.25" customHeight="1">
      <c r="A6" s="90" t="s">
        <v>237</v>
      </c>
      <c r="B6" s="48">
        <v>0.27083333333333331</v>
      </c>
      <c r="C6" s="92" t="s">
        <v>104</v>
      </c>
      <c r="D6" s="120" t="s">
        <v>51</v>
      </c>
      <c r="E6" s="39" t="s">
        <v>34</v>
      </c>
      <c r="F6" s="112">
        <v>0.30208333333333331</v>
      </c>
      <c r="G6" s="112">
        <v>0.32291666666666669</v>
      </c>
      <c r="H6" s="49"/>
      <c r="I6" s="41"/>
      <c r="J6" s="200" t="s">
        <v>238</v>
      </c>
      <c r="K6" s="42">
        <v>150</v>
      </c>
      <c r="L6" s="44">
        <v>400</v>
      </c>
      <c r="M6" s="42">
        <f t="shared" si="0"/>
        <v>550</v>
      </c>
      <c r="N6" s="42">
        <v>30</v>
      </c>
    </row>
    <row r="7" spans="1:14" s="111" customFormat="1" ht="17.25" customHeight="1">
      <c r="A7" s="90" t="s">
        <v>239</v>
      </c>
      <c r="B7" s="48">
        <v>0.3125</v>
      </c>
      <c r="C7" s="39" t="s">
        <v>102</v>
      </c>
      <c r="D7" s="7" t="s">
        <v>51</v>
      </c>
      <c r="E7" s="39" t="s">
        <v>34</v>
      </c>
      <c r="F7" s="40">
        <v>0.34722222222222221</v>
      </c>
      <c r="G7" s="40">
        <v>0.375</v>
      </c>
      <c r="H7" s="39"/>
      <c r="I7" s="41"/>
      <c r="J7" s="43" t="s">
        <v>40</v>
      </c>
      <c r="K7" s="42">
        <v>35</v>
      </c>
      <c r="L7" s="44">
        <v>400</v>
      </c>
      <c r="M7" s="42">
        <f t="shared" si="0"/>
        <v>435</v>
      </c>
      <c r="N7" s="42">
        <v>30</v>
      </c>
    </row>
    <row r="8" spans="1:14" s="111" customFormat="1" ht="17.25" customHeight="1">
      <c r="A8" s="90" t="s">
        <v>239</v>
      </c>
      <c r="B8" s="48">
        <v>0.3125</v>
      </c>
      <c r="C8" s="39" t="s">
        <v>102</v>
      </c>
      <c r="D8" s="7" t="s">
        <v>240</v>
      </c>
      <c r="E8" s="39" t="s">
        <v>34</v>
      </c>
      <c r="F8" s="40">
        <v>0.34722222222222221</v>
      </c>
      <c r="G8" s="40">
        <v>0.375</v>
      </c>
      <c r="H8" s="39"/>
      <c r="I8" s="41"/>
      <c r="J8" s="43" t="s">
        <v>40</v>
      </c>
      <c r="K8" s="42">
        <v>35</v>
      </c>
      <c r="L8" s="44">
        <v>400</v>
      </c>
      <c r="M8" s="42">
        <f t="shared" ref="M8" si="2">SUM(K8:L8)</f>
        <v>435</v>
      </c>
      <c r="N8" s="42">
        <v>30</v>
      </c>
    </row>
    <row r="9" spans="1:14" ht="17.25" customHeight="1">
      <c r="A9" s="166">
        <v>531360</v>
      </c>
      <c r="B9" s="309">
        <v>0.31944444444444442</v>
      </c>
      <c r="C9" s="164" t="s">
        <v>241</v>
      </c>
      <c r="D9" s="166" t="s">
        <v>99</v>
      </c>
      <c r="E9" s="164" t="s">
        <v>34</v>
      </c>
      <c r="F9" s="165">
        <v>0.375</v>
      </c>
      <c r="G9" s="165">
        <v>0.39930555555555558</v>
      </c>
      <c r="H9" s="164"/>
      <c r="I9" s="160"/>
      <c r="J9" s="175"/>
      <c r="K9" s="176"/>
      <c r="L9" s="176">
        <v>400</v>
      </c>
      <c r="M9" s="156">
        <f t="shared" si="0"/>
        <v>400</v>
      </c>
      <c r="N9" s="42">
        <v>30</v>
      </c>
    </row>
    <row r="10" spans="1:14" ht="17.25" customHeight="1">
      <c r="A10" s="166">
        <v>531360</v>
      </c>
      <c r="B10" s="309">
        <v>0.31944444444444442</v>
      </c>
      <c r="C10" s="164" t="s">
        <v>241</v>
      </c>
      <c r="D10" s="166" t="s">
        <v>223</v>
      </c>
      <c r="E10" s="164" t="s">
        <v>34</v>
      </c>
      <c r="F10" s="165">
        <v>0.375</v>
      </c>
      <c r="G10" s="165">
        <v>0.39930555555555558</v>
      </c>
      <c r="H10" s="164"/>
      <c r="I10" s="160"/>
      <c r="J10" s="175" t="s">
        <v>40</v>
      </c>
      <c r="K10" s="176">
        <v>35</v>
      </c>
      <c r="L10" s="176">
        <v>400</v>
      </c>
      <c r="M10" s="156">
        <f t="shared" ref="M10:M11" si="3">SUM(K10:L10)</f>
        <v>435</v>
      </c>
      <c r="N10" s="42">
        <v>30</v>
      </c>
    </row>
    <row r="11" spans="1:14" ht="17.25" customHeight="1">
      <c r="A11" s="166">
        <v>531360</v>
      </c>
      <c r="B11" s="309">
        <v>0.31944444444444442</v>
      </c>
      <c r="C11" s="164" t="s">
        <v>241</v>
      </c>
      <c r="D11" s="166" t="s">
        <v>242</v>
      </c>
      <c r="E11" s="164" t="s">
        <v>34</v>
      </c>
      <c r="F11" s="165">
        <v>0.375</v>
      </c>
      <c r="G11" s="165">
        <v>0.39930555555555558</v>
      </c>
      <c r="H11" s="164"/>
      <c r="I11" s="160"/>
      <c r="J11" s="175" t="s">
        <v>40</v>
      </c>
      <c r="K11" s="176">
        <v>35</v>
      </c>
      <c r="L11" s="176">
        <v>400</v>
      </c>
      <c r="M11" s="156">
        <f t="shared" si="3"/>
        <v>435</v>
      </c>
      <c r="N11" s="42">
        <v>30</v>
      </c>
    </row>
    <row r="12" spans="1:14" ht="17.25" customHeight="1">
      <c r="A12" s="260" t="s">
        <v>243</v>
      </c>
      <c r="B12" s="158" t="s">
        <v>244</v>
      </c>
      <c r="C12" s="261" t="s">
        <v>104</v>
      </c>
      <c r="D12" s="7" t="s">
        <v>245</v>
      </c>
      <c r="E12" s="53" t="s">
        <v>34</v>
      </c>
      <c r="F12" s="54">
        <v>0.36805555555555558</v>
      </c>
      <c r="G12" s="54">
        <v>0.3888888888888889</v>
      </c>
      <c r="H12" s="53"/>
      <c r="I12" s="55"/>
      <c r="J12" s="43" t="s">
        <v>246</v>
      </c>
      <c r="K12" s="50">
        <v>90</v>
      </c>
      <c r="L12" s="57">
        <v>400</v>
      </c>
      <c r="M12" s="156">
        <f t="shared" si="0"/>
        <v>490</v>
      </c>
      <c r="N12" s="42">
        <v>30</v>
      </c>
    </row>
    <row r="13" spans="1:14" ht="17.25" customHeight="1">
      <c r="A13" s="260" t="s">
        <v>247</v>
      </c>
      <c r="B13" s="158" t="s">
        <v>248</v>
      </c>
      <c r="C13" s="261" t="s">
        <v>249</v>
      </c>
      <c r="D13" s="7" t="s">
        <v>51</v>
      </c>
      <c r="E13" s="53" t="s">
        <v>34</v>
      </c>
      <c r="F13" s="54">
        <v>0.67500000000000004</v>
      </c>
      <c r="G13" s="54">
        <v>0.7</v>
      </c>
      <c r="H13" s="53"/>
      <c r="I13" s="55"/>
      <c r="J13" s="43" t="s">
        <v>250</v>
      </c>
      <c r="K13" s="50">
        <v>32</v>
      </c>
      <c r="L13" s="57">
        <v>400</v>
      </c>
      <c r="M13" s="156">
        <f t="shared" si="0"/>
        <v>432</v>
      </c>
      <c r="N13" s="42">
        <v>30</v>
      </c>
    </row>
    <row r="14" spans="1:14" ht="17.25" customHeight="1">
      <c r="A14" s="45" t="s">
        <v>251</v>
      </c>
      <c r="B14" s="46">
        <v>0.61805555555555558</v>
      </c>
      <c r="C14" s="261" t="s">
        <v>249</v>
      </c>
      <c r="D14" s="60" t="s">
        <v>252</v>
      </c>
      <c r="E14" s="39" t="s">
        <v>34</v>
      </c>
      <c r="F14" s="40">
        <v>0.69097222222222221</v>
      </c>
      <c r="G14" s="40">
        <v>0.71527777777777779</v>
      </c>
      <c r="H14" s="39"/>
      <c r="I14" s="41"/>
      <c r="J14" s="43" t="s">
        <v>40</v>
      </c>
      <c r="K14" s="42">
        <v>35</v>
      </c>
      <c r="L14" s="44">
        <v>400</v>
      </c>
      <c r="M14" s="156">
        <f t="shared" si="0"/>
        <v>435</v>
      </c>
      <c r="N14" s="42">
        <v>30</v>
      </c>
    </row>
    <row r="15" spans="1:14" ht="17.25" customHeight="1">
      <c r="A15" s="45" t="s">
        <v>251</v>
      </c>
      <c r="B15" s="46">
        <v>0.61805555555555558</v>
      </c>
      <c r="C15" s="261" t="s">
        <v>249</v>
      </c>
      <c r="D15" s="60" t="s">
        <v>253</v>
      </c>
      <c r="E15" s="39" t="s">
        <v>34</v>
      </c>
      <c r="F15" s="40">
        <v>0.69097222222222221</v>
      </c>
      <c r="G15" s="40">
        <v>0.71527777777777779</v>
      </c>
      <c r="H15" s="39"/>
      <c r="I15" s="41"/>
      <c r="J15" s="43" t="s">
        <v>40</v>
      </c>
      <c r="K15" s="42">
        <v>35</v>
      </c>
      <c r="L15" s="44">
        <v>400</v>
      </c>
      <c r="M15" s="156">
        <f t="shared" ref="M15:M16" si="4">SUM(K15:L15)</f>
        <v>435</v>
      </c>
      <c r="N15" s="42">
        <v>30</v>
      </c>
    </row>
    <row r="16" spans="1:14" ht="17.25" customHeight="1">
      <c r="A16" s="45" t="s">
        <v>251</v>
      </c>
      <c r="B16" s="46">
        <v>0.61805555555555558</v>
      </c>
      <c r="C16" s="261" t="s">
        <v>249</v>
      </c>
      <c r="D16" s="60" t="s">
        <v>254</v>
      </c>
      <c r="E16" s="39" t="s">
        <v>34</v>
      </c>
      <c r="F16" s="40">
        <v>0.69097222222222221</v>
      </c>
      <c r="G16" s="40">
        <v>0.71527777777777779</v>
      </c>
      <c r="H16" s="39"/>
      <c r="I16" s="41"/>
      <c r="J16" s="43" t="s">
        <v>40</v>
      </c>
      <c r="K16" s="42">
        <v>35</v>
      </c>
      <c r="L16" s="44">
        <v>400</v>
      </c>
      <c r="M16" s="156">
        <f t="shared" si="4"/>
        <v>435</v>
      </c>
      <c r="N16" s="42">
        <v>30</v>
      </c>
    </row>
    <row r="17" spans="1:16" ht="17.25" customHeight="1">
      <c r="A17" s="1" t="s">
        <v>255</v>
      </c>
      <c r="B17" s="8">
        <v>0.36458333333333331</v>
      </c>
      <c r="C17" s="53" t="s">
        <v>256</v>
      </c>
      <c r="D17" s="36" t="s">
        <v>257</v>
      </c>
      <c r="E17" s="53" t="s">
        <v>34</v>
      </c>
      <c r="F17" s="61">
        <v>0.36458333333333331</v>
      </c>
      <c r="G17" s="61">
        <v>0.75416666666666665</v>
      </c>
      <c r="H17" s="53"/>
      <c r="I17" s="55"/>
      <c r="J17" s="56" t="s">
        <v>258</v>
      </c>
      <c r="K17" s="50">
        <v>520</v>
      </c>
      <c r="L17" s="50">
        <v>2185</v>
      </c>
      <c r="M17" s="156">
        <f t="shared" si="0"/>
        <v>2705</v>
      </c>
      <c r="N17" s="42">
        <v>30</v>
      </c>
      <c r="P17" t="s">
        <v>259</v>
      </c>
    </row>
    <row r="18" spans="1:16" ht="17.25" customHeight="1">
      <c r="A18" s="51" t="s">
        <v>260</v>
      </c>
      <c r="B18" s="62">
        <v>0.68402777777777779</v>
      </c>
      <c r="C18" s="53" t="s">
        <v>261</v>
      </c>
      <c r="D18" s="36" t="s">
        <v>223</v>
      </c>
      <c r="E18" s="53" t="s">
        <v>34</v>
      </c>
      <c r="F18" s="61">
        <v>0.74305555555555558</v>
      </c>
      <c r="G18" s="61">
        <v>0.77777777777777779</v>
      </c>
      <c r="H18" s="53"/>
      <c r="I18" s="55"/>
      <c r="J18" s="56"/>
      <c r="K18" s="50"/>
      <c r="L18" s="50">
        <v>400</v>
      </c>
      <c r="M18" s="156">
        <f t="shared" si="0"/>
        <v>400</v>
      </c>
      <c r="N18" s="42">
        <v>30</v>
      </c>
    </row>
    <row r="19" spans="1:16" ht="17.25" customHeight="1">
      <c r="A19" s="51" t="s">
        <v>260</v>
      </c>
      <c r="B19" s="62">
        <v>0.68402777777777779</v>
      </c>
      <c r="C19" s="53" t="s">
        <v>261</v>
      </c>
      <c r="D19" s="36" t="s">
        <v>262</v>
      </c>
      <c r="E19" s="53" t="s">
        <v>34</v>
      </c>
      <c r="F19" s="61">
        <v>0.74305555555555558</v>
      </c>
      <c r="G19" s="61">
        <v>0.77777777777777779</v>
      </c>
      <c r="H19" s="53"/>
      <c r="I19" s="55"/>
      <c r="J19" s="56" t="s">
        <v>250</v>
      </c>
      <c r="K19" s="50">
        <v>32</v>
      </c>
      <c r="L19" s="50">
        <v>400</v>
      </c>
      <c r="M19" s="156">
        <f t="shared" ref="M19" si="5">SUM(K19:L19)</f>
        <v>432</v>
      </c>
      <c r="N19" s="42">
        <v>30</v>
      </c>
    </row>
    <row r="20" spans="1:16" ht="17.25" customHeight="1">
      <c r="A20" s="51" t="s">
        <v>263</v>
      </c>
      <c r="B20" s="62">
        <v>0.4375</v>
      </c>
      <c r="C20" s="53" t="s">
        <v>264</v>
      </c>
      <c r="D20" s="36" t="s">
        <v>99</v>
      </c>
      <c r="E20" s="53" t="s">
        <v>34</v>
      </c>
      <c r="F20" s="61">
        <v>0.4375</v>
      </c>
      <c r="G20" s="61">
        <v>0.84722222222222221</v>
      </c>
      <c r="H20" s="53"/>
      <c r="I20" s="55"/>
      <c r="J20" s="56" t="s">
        <v>265</v>
      </c>
      <c r="K20" s="50"/>
      <c r="L20" s="50">
        <v>2300</v>
      </c>
      <c r="M20" s="156">
        <f t="shared" si="0"/>
        <v>2300</v>
      </c>
      <c r="N20" s="42">
        <v>30</v>
      </c>
      <c r="P20" t="s">
        <v>266</v>
      </c>
    </row>
    <row r="21" spans="1:16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6" ht="17.25" customHeight="1">
      <c r="A22" s="51"/>
      <c r="B22" s="62"/>
      <c r="C22" s="53"/>
      <c r="D22" s="63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6" ht="17.25" customHeight="1">
      <c r="A23" s="51"/>
      <c r="B23" s="62"/>
      <c r="C23" s="53"/>
      <c r="D23" s="53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6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6">
      <c r="A25" s="51"/>
      <c r="B25" s="62"/>
      <c r="C25" s="53"/>
      <c r="D25" s="64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6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6">
      <c r="A27" s="51"/>
      <c r="B27" s="62"/>
      <c r="C27" s="53"/>
      <c r="D27" s="146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6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6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6">
      <c r="A30" s="51"/>
      <c r="B30" s="62"/>
      <c r="C30" s="53"/>
      <c r="D30" s="63"/>
      <c r="E30" s="10"/>
      <c r="F30" s="61"/>
      <c r="G30" s="61"/>
      <c r="H30" s="10"/>
      <c r="I30" s="11"/>
      <c r="J30" s="13"/>
      <c r="K30" s="12"/>
      <c r="L30" s="12"/>
      <c r="M30" s="156">
        <f t="shared" si="0"/>
        <v>0</v>
      </c>
      <c r="N30" s="42"/>
    </row>
    <row r="31" spans="1:16">
      <c r="A31" s="14"/>
      <c r="B31" s="15"/>
      <c r="C31" s="10"/>
      <c r="D31" s="36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6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4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20"/>
      <c r="B37" s="21"/>
      <c r="C37" s="22"/>
      <c r="D37" s="21"/>
      <c r="E37" s="21"/>
      <c r="F37" s="21"/>
      <c r="G37" s="21"/>
      <c r="H37" s="21"/>
      <c r="I37" s="23"/>
      <c r="J37" s="25"/>
      <c r="K37" s="24"/>
      <c r="L37" s="24"/>
      <c r="M37" s="24"/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J38" s="25"/>
      <c r="K38" s="24"/>
      <c r="L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M39" s="27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12479</v>
      </c>
      <c r="N40" s="26">
        <f>SUM(N2:N39)</f>
        <v>570</v>
      </c>
    </row>
    <row r="41" spans="1:14">
      <c r="C41" s="30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</sheetData>
  <sortState xmlns:xlrd2="http://schemas.microsoft.com/office/spreadsheetml/2017/richdata2" ref="A2:N132">
    <sortCondition ref="B2:B132"/>
  </sortState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AE77-F0E5-432B-BF2C-C7F4505A4262}">
  <dimension ref="A1:Q132"/>
  <sheetViews>
    <sheetView topLeftCell="C1" zoomScale="69" zoomScaleNormal="69" workbookViewId="0">
      <selection activeCell="D3" sqref="D3"/>
    </sheetView>
  </sheetViews>
  <sheetFormatPr defaultColWidth="8.75" defaultRowHeight="15"/>
  <cols>
    <col min="1" max="1" width="11.5" style="29" customWidth="1"/>
    <col min="2" max="2" width="10.875" customWidth="1"/>
    <col min="3" max="3" width="56" customWidth="1"/>
    <col min="4" max="4" width="27.1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7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7" s="71" customFormat="1" ht="17.25" customHeight="1">
      <c r="A2" s="90" t="s">
        <v>267</v>
      </c>
      <c r="B2" s="90" t="s">
        <v>268</v>
      </c>
      <c r="C2" s="39" t="s">
        <v>104</v>
      </c>
      <c r="D2" s="7" t="s">
        <v>88</v>
      </c>
      <c r="E2" s="102" t="s">
        <v>34</v>
      </c>
      <c r="F2" s="40">
        <v>0.15486111111111112</v>
      </c>
      <c r="G2" s="40">
        <v>0.17708333333333334</v>
      </c>
      <c r="H2" s="49"/>
      <c r="I2" s="41"/>
      <c r="J2" s="43" t="s">
        <v>105</v>
      </c>
      <c r="K2" s="42">
        <v>60</v>
      </c>
      <c r="L2" s="44">
        <v>400</v>
      </c>
      <c r="M2" s="42">
        <f t="shared" ref="M2:M36" si="0">SUM(K2:L2)</f>
        <v>460</v>
      </c>
      <c r="N2" s="42">
        <v>30</v>
      </c>
      <c r="O2" s="151"/>
      <c r="P2" s="151"/>
      <c r="Q2" s="151"/>
    </row>
    <row r="3" spans="1:17" ht="17.25" customHeight="1">
      <c r="A3" s="320" t="s">
        <v>269</v>
      </c>
      <c r="B3" s="321">
        <v>0.1875</v>
      </c>
      <c r="C3" s="322" t="s">
        <v>270</v>
      </c>
      <c r="D3" s="36" t="s">
        <v>33</v>
      </c>
      <c r="E3" s="164" t="s">
        <v>34</v>
      </c>
      <c r="F3" s="165">
        <v>0.22916666666666666</v>
      </c>
      <c r="G3" s="165">
        <v>0.24930555555555556</v>
      </c>
      <c r="H3" s="164"/>
      <c r="I3" s="160"/>
      <c r="J3" s="325" t="s">
        <v>271</v>
      </c>
      <c r="K3" s="286">
        <v>95</v>
      </c>
      <c r="L3" s="286">
        <v>400</v>
      </c>
      <c r="M3" s="156">
        <f t="shared" si="0"/>
        <v>495</v>
      </c>
      <c r="N3" s="42">
        <v>30</v>
      </c>
    </row>
    <row r="4" spans="1:17" ht="17.25" customHeight="1">
      <c r="A4" s="320" t="s">
        <v>269</v>
      </c>
      <c r="B4" s="321">
        <v>0.1875</v>
      </c>
      <c r="C4" s="322" t="s">
        <v>270</v>
      </c>
      <c r="D4" s="36" t="s">
        <v>88</v>
      </c>
      <c r="E4" s="164" t="s">
        <v>34</v>
      </c>
      <c r="F4" s="165">
        <v>0.22916666666666666</v>
      </c>
      <c r="G4" s="165">
        <v>0.24930555555555556</v>
      </c>
      <c r="H4" s="164"/>
      <c r="I4" s="160"/>
      <c r="J4" s="325" t="s">
        <v>271</v>
      </c>
      <c r="K4" s="286">
        <v>95</v>
      </c>
      <c r="L4" s="286">
        <v>400</v>
      </c>
      <c r="M4" s="156">
        <f t="shared" ref="M4:M5" si="1">SUM(K4:L4)</f>
        <v>495</v>
      </c>
      <c r="N4" s="42">
        <v>30</v>
      </c>
    </row>
    <row r="5" spans="1:17" ht="17.25" customHeight="1">
      <c r="A5" s="320" t="s">
        <v>269</v>
      </c>
      <c r="B5" s="321">
        <v>0.1875</v>
      </c>
      <c r="C5" s="322" t="s">
        <v>270</v>
      </c>
      <c r="D5" s="36" t="s">
        <v>132</v>
      </c>
      <c r="E5" s="164" t="s">
        <v>34</v>
      </c>
      <c r="F5" s="165">
        <v>0.22916666666666666</v>
      </c>
      <c r="G5" s="165">
        <v>0.24930555555555556</v>
      </c>
      <c r="H5" s="164"/>
      <c r="I5" s="160"/>
      <c r="J5" s="325" t="s">
        <v>271</v>
      </c>
      <c r="K5" s="286">
        <v>95</v>
      </c>
      <c r="L5" s="286">
        <v>400</v>
      </c>
      <c r="M5" s="156">
        <f t="shared" si="1"/>
        <v>495</v>
      </c>
      <c r="N5" s="42">
        <v>30</v>
      </c>
    </row>
    <row r="6" spans="1:17" s="6" customFormat="1" ht="17.25" customHeight="1">
      <c r="A6" s="90" t="s">
        <v>272</v>
      </c>
      <c r="B6" s="90" t="s">
        <v>273</v>
      </c>
      <c r="C6" s="39" t="s">
        <v>104</v>
      </c>
      <c r="D6" s="7" t="s">
        <v>274</v>
      </c>
      <c r="E6" s="102" t="s">
        <v>34</v>
      </c>
      <c r="F6" s="40">
        <v>0.2326388888888889</v>
      </c>
      <c r="G6" s="40">
        <v>0.25347222222222221</v>
      </c>
      <c r="H6" s="39"/>
      <c r="I6" s="41"/>
      <c r="J6" s="175" t="s">
        <v>105</v>
      </c>
      <c r="K6" s="176">
        <v>60</v>
      </c>
      <c r="L6" s="177">
        <v>400</v>
      </c>
      <c r="M6" s="42">
        <f t="shared" si="0"/>
        <v>460</v>
      </c>
      <c r="N6" s="42">
        <v>30</v>
      </c>
    </row>
    <row r="7" spans="1:17" s="6" customFormat="1" ht="17.25" customHeight="1">
      <c r="A7" s="90" t="s">
        <v>275</v>
      </c>
      <c r="B7" s="90" t="s">
        <v>276</v>
      </c>
      <c r="C7" s="39" t="s">
        <v>48</v>
      </c>
      <c r="D7" s="120" t="s">
        <v>51</v>
      </c>
      <c r="E7" s="102" t="s">
        <v>34</v>
      </c>
      <c r="F7" s="40">
        <v>0.36666666666666664</v>
      </c>
      <c r="G7" s="40">
        <v>0.38541666666666669</v>
      </c>
      <c r="H7" s="39"/>
      <c r="I7" s="41"/>
      <c r="J7" s="175"/>
      <c r="K7" s="176"/>
      <c r="L7" s="177">
        <v>400</v>
      </c>
      <c r="M7" s="42">
        <f t="shared" si="0"/>
        <v>400</v>
      </c>
      <c r="N7" s="42">
        <v>30</v>
      </c>
    </row>
    <row r="8" spans="1:17" s="6" customFormat="1" ht="17.25" customHeight="1">
      <c r="A8" s="90" t="s">
        <v>275</v>
      </c>
      <c r="B8" s="90" t="s">
        <v>276</v>
      </c>
      <c r="C8" s="39" t="s">
        <v>48</v>
      </c>
      <c r="D8" s="120" t="s">
        <v>277</v>
      </c>
      <c r="E8" s="102" t="s">
        <v>34</v>
      </c>
      <c r="F8" s="40">
        <v>0.36666666666666664</v>
      </c>
      <c r="G8" s="40">
        <v>0.38541666666666669</v>
      </c>
      <c r="H8" s="39"/>
      <c r="I8" s="41"/>
      <c r="J8" s="175"/>
      <c r="K8" s="176"/>
      <c r="L8" s="177">
        <v>400</v>
      </c>
      <c r="M8" s="42">
        <f t="shared" ref="M8" si="2">SUM(K8:L8)</f>
        <v>400</v>
      </c>
      <c r="N8" s="42">
        <v>30</v>
      </c>
    </row>
    <row r="9" spans="1:17" s="6" customFormat="1" ht="17.25" customHeight="1">
      <c r="A9" s="90" t="s">
        <v>278</v>
      </c>
      <c r="B9" s="90" t="s">
        <v>279</v>
      </c>
      <c r="C9" s="90" t="s">
        <v>280</v>
      </c>
      <c r="D9" s="7" t="s">
        <v>33</v>
      </c>
      <c r="E9" s="102" t="s">
        <v>34</v>
      </c>
      <c r="F9" s="40">
        <v>0.3923611111111111</v>
      </c>
      <c r="G9" s="40">
        <v>0.41319444444444442</v>
      </c>
      <c r="H9" s="39"/>
      <c r="I9" s="41"/>
      <c r="J9" s="43" t="s">
        <v>40</v>
      </c>
      <c r="K9" s="42">
        <v>35</v>
      </c>
      <c r="L9" s="44">
        <v>400</v>
      </c>
      <c r="M9" s="42">
        <f t="shared" si="0"/>
        <v>435</v>
      </c>
      <c r="N9" s="42">
        <v>30</v>
      </c>
    </row>
    <row r="10" spans="1:17" ht="17.25" customHeight="1">
      <c r="A10" s="90" t="s">
        <v>281</v>
      </c>
      <c r="B10" s="90" t="s">
        <v>282</v>
      </c>
      <c r="C10" s="90" t="s">
        <v>104</v>
      </c>
      <c r="D10" s="7" t="s">
        <v>277</v>
      </c>
      <c r="E10" s="102" t="s">
        <v>34</v>
      </c>
      <c r="F10" s="40">
        <v>0.53819444444444442</v>
      </c>
      <c r="G10" s="40">
        <v>0.55902777777777779</v>
      </c>
      <c r="H10" s="39"/>
      <c r="I10" s="41"/>
      <c r="J10" s="43" t="s">
        <v>283</v>
      </c>
      <c r="K10" s="42"/>
      <c r="L10" s="44">
        <v>400</v>
      </c>
      <c r="M10" s="42">
        <f t="shared" si="0"/>
        <v>400</v>
      </c>
      <c r="N10" s="42">
        <v>30</v>
      </c>
    </row>
    <row r="11" spans="1:17" ht="17.25" customHeight="1">
      <c r="A11" s="90" t="s">
        <v>284</v>
      </c>
      <c r="B11" s="90" t="s">
        <v>285</v>
      </c>
      <c r="C11" s="92" t="s">
        <v>48</v>
      </c>
      <c r="D11" s="7" t="s">
        <v>33</v>
      </c>
      <c r="E11" s="39" t="s">
        <v>34</v>
      </c>
      <c r="F11" s="40">
        <v>0.54513888888888884</v>
      </c>
      <c r="G11" s="40">
        <v>0.56597222222222221</v>
      </c>
      <c r="H11" s="39"/>
      <c r="I11" s="41"/>
      <c r="J11" s="43"/>
      <c r="K11" s="42"/>
      <c r="L11" s="44">
        <v>400</v>
      </c>
      <c r="M11" s="42">
        <f t="shared" si="0"/>
        <v>400</v>
      </c>
      <c r="N11" s="42">
        <v>30</v>
      </c>
    </row>
    <row r="12" spans="1:17">
      <c r="A12" s="158" t="s">
        <v>286</v>
      </c>
      <c r="B12" s="158" t="s">
        <v>287</v>
      </c>
      <c r="C12" s="157" t="s">
        <v>64</v>
      </c>
      <c r="D12" s="7" t="s">
        <v>51</v>
      </c>
      <c r="E12" s="39" t="s">
        <v>34</v>
      </c>
      <c r="F12" s="40">
        <v>0.57499999999999996</v>
      </c>
      <c r="G12" s="40">
        <v>0.59930555555555554</v>
      </c>
      <c r="H12" s="39"/>
      <c r="I12" s="41"/>
      <c r="J12" s="43" t="s">
        <v>66</v>
      </c>
      <c r="K12" s="42">
        <v>35</v>
      </c>
      <c r="L12" s="44">
        <v>400</v>
      </c>
      <c r="M12" s="156">
        <f t="shared" si="0"/>
        <v>435</v>
      </c>
      <c r="N12" s="42">
        <v>30</v>
      </c>
    </row>
    <row r="13" spans="1:17">
      <c r="A13" s="45"/>
      <c r="B13" s="46"/>
      <c r="C13" s="39"/>
      <c r="D13" s="60"/>
      <c r="E13" s="39"/>
      <c r="F13" s="40"/>
      <c r="G13" s="40"/>
      <c r="H13" s="39"/>
      <c r="I13" s="41"/>
      <c r="J13" s="43"/>
      <c r="K13" s="42"/>
      <c r="L13" s="44"/>
      <c r="M13" s="156">
        <f t="shared" si="0"/>
        <v>0</v>
      </c>
      <c r="N13" s="42"/>
    </row>
    <row r="14" spans="1:17">
      <c r="A14" s="47"/>
      <c r="B14" s="48"/>
      <c r="C14" s="39"/>
      <c r="D14" s="60"/>
      <c r="E14" s="39"/>
      <c r="F14" s="40"/>
      <c r="G14" s="40"/>
      <c r="H14" s="39"/>
      <c r="I14" s="41"/>
      <c r="J14" s="43"/>
      <c r="K14" s="42"/>
      <c r="L14" s="44"/>
      <c r="M14" s="156">
        <f t="shared" si="0"/>
        <v>0</v>
      </c>
      <c r="N14" s="42"/>
    </row>
    <row r="15" spans="1:17">
      <c r="A15" s="45"/>
      <c r="B15" s="46"/>
      <c r="C15" s="39"/>
      <c r="D15" s="7"/>
      <c r="E15" s="39"/>
      <c r="F15" s="40"/>
      <c r="G15" s="40"/>
      <c r="H15" s="39"/>
      <c r="I15" s="41"/>
      <c r="J15" s="43"/>
      <c r="K15" s="42"/>
      <c r="L15" s="42"/>
      <c r="M15" s="156">
        <f t="shared" si="0"/>
        <v>0</v>
      </c>
      <c r="N15" s="42"/>
    </row>
    <row r="16" spans="1:17">
      <c r="A16" s="1"/>
      <c r="B16" s="8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6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6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82"/>
      <c r="B37" s="83"/>
      <c r="C37" s="77"/>
      <c r="D37" s="84"/>
      <c r="E37" s="77"/>
      <c r="F37" s="78"/>
      <c r="G37" s="78"/>
      <c r="H37" s="77"/>
      <c r="I37" s="79"/>
      <c r="J37" s="81"/>
      <c r="K37" s="80"/>
      <c r="L37" s="80"/>
      <c r="M37" s="74"/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J38" s="25"/>
      <c r="K38" s="24"/>
      <c r="L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M39" s="27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SUM(M2:M36)</f>
        <v>4875</v>
      </c>
      <c r="N40" s="26">
        <f>SUM(N2:N36)</f>
        <v>330</v>
      </c>
    </row>
    <row r="41" spans="1:14">
      <c r="C41" s="30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</sheetData>
  <autoFilter ref="A1:N36" xr:uid="{5279878D-25D8-4B55-ADF8-248FA8295F6F}">
    <sortState xmlns:xlrd2="http://schemas.microsoft.com/office/spreadsheetml/2017/richdata2" ref="A2:N36">
      <sortCondition descending="1" ref="B1:B36"/>
    </sortState>
  </autoFilter>
  <sortState xmlns:xlrd2="http://schemas.microsoft.com/office/spreadsheetml/2017/richdata2" ref="A2:N132">
    <sortCondition ref="B2:B132"/>
  </sortState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2440-E4F9-46E2-A6D4-BA910E0EA47A}">
  <dimension ref="A1:O134"/>
  <sheetViews>
    <sheetView topLeftCell="C6" zoomScale="73" zoomScaleNormal="73" workbookViewId="0">
      <selection activeCell="D14" sqref="D14"/>
    </sheetView>
  </sheetViews>
  <sheetFormatPr defaultColWidth="8.75" defaultRowHeight="15"/>
  <cols>
    <col min="1" max="1" width="10" style="29" customWidth="1"/>
    <col min="3" max="3" width="64.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5">
      <c r="A1" s="90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5" s="111" customFormat="1" ht="17.25" customHeight="1">
      <c r="A2" s="90" t="s">
        <v>288</v>
      </c>
      <c r="B2" s="48">
        <v>4.8611111111111112E-2</v>
      </c>
      <c r="C2" s="164" t="s">
        <v>104</v>
      </c>
      <c r="D2" s="7" t="s">
        <v>51</v>
      </c>
      <c r="E2" s="39" t="s">
        <v>34</v>
      </c>
      <c r="F2" s="40">
        <v>5.2083333333333336E-2</v>
      </c>
      <c r="G2" s="40">
        <v>7.1527777777777773E-2</v>
      </c>
      <c r="H2" s="39"/>
      <c r="I2" s="41"/>
      <c r="J2" s="155" t="s">
        <v>35</v>
      </c>
      <c r="K2" s="42">
        <v>60</v>
      </c>
      <c r="L2" s="44">
        <v>400</v>
      </c>
      <c r="M2" s="42">
        <f t="shared" ref="M2:M39" si="0">SUM(K2:L2)</f>
        <v>460</v>
      </c>
      <c r="N2" s="42">
        <v>30</v>
      </c>
    </row>
    <row r="3" spans="1:15" s="6" customFormat="1" ht="17.25" customHeight="1">
      <c r="A3" s="90" t="s">
        <v>289</v>
      </c>
      <c r="B3" s="173">
        <v>0.10416666666666667</v>
      </c>
      <c r="C3" s="164" t="s">
        <v>104</v>
      </c>
      <c r="D3" s="36" t="s">
        <v>88</v>
      </c>
      <c r="E3" s="39" t="s">
        <v>34</v>
      </c>
      <c r="F3" s="40">
        <v>0.1125</v>
      </c>
      <c r="G3" s="40">
        <v>0.12152777777777778</v>
      </c>
      <c r="H3" s="39"/>
      <c r="I3" s="41"/>
      <c r="J3" s="155" t="s">
        <v>35</v>
      </c>
      <c r="K3" s="176">
        <v>60</v>
      </c>
      <c r="L3" s="177">
        <v>400</v>
      </c>
      <c r="M3" s="42">
        <f t="shared" si="0"/>
        <v>460</v>
      </c>
      <c r="N3" s="42">
        <v>30</v>
      </c>
      <c r="O3" s="156"/>
    </row>
    <row r="4" spans="1:15" s="6" customFormat="1" ht="17.25" customHeight="1">
      <c r="A4" s="90" t="s">
        <v>290</v>
      </c>
      <c r="B4" s="173">
        <v>0.1111111111111111</v>
      </c>
      <c r="C4" s="164" t="s">
        <v>104</v>
      </c>
      <c r="D4" s="7" t="s">
        <v>291</v>
      </c>
      <c r="E4" s="39" t="s">
        <v>34</v>
      </c>
      <c r="F4" s="40">
        <v>0.1125</v>
      </c>
      <c r="G4" s="40">
        <v>0.13194444444444445</v>
      </c>
      <c r="H4" s="39"/>
      <c r="I4" s="41"/>
      <c r="J4" s="155" t="s">
        <v>35</v>
      </c>
      <c r="K4" s="176">
        <v>60</v>
      </c>
      <c r="L4" s="177">
        <v>400</v>
      </c>
      <c r="M4" s="42">
        <f t="shared" si="0"/>
        <v>460</v>
      </c>
      <c r="N4" s="42">
        <v>30</v>
      </c>
      <c r="O4" s="156"/>
    </row>
    <row r="5" spans="1:15" s="6" customFormat="1" ht="17.25" customHeight="1">
      <c r="A5" s="90" t="s">
        <v>292</v>
      </c>
      <c r="B5" s="48">
        <v>6.9444444444444448E-2</v>
      </c>
      <c r="C5" s="164" t="s">
        <v>293</v>
      </c>
      <c r="D5" s="166" t="s">
        <v>51</v>
      </c>
      <c r="E5" s="263" t="s">
        <v>34</v>
      </c>
      <c r="F5" s="40">
        <v>0.11597222222222223</v>
      </c>
      <c r="G5" s="40">
        <v>0.13680555555555557</v>
      </c>
      <c r="H5" s="39"/>
      <c r="I5" s="93"/>
      <c r="J5" s="155" t="s">
        <v>294</v>
      </c>
      <c r="K5" s="42">
        <v>95</v>
      </c>
      <c r="L5" s="44">
        <v>400</v>
      </c>
      <c r="M5" s="42">
        <f t="shared" si="0"/>
        <v>495</v>
      </c>
      <c r="N5" s="42">
        <v>30</v>
      </c>
    </row>
    <row r="6" spans="1:15" s="6" customFormat="1" ht="17.25" customHeight="1">
      <c r="A6" s="90" t="s">
        <v>292</v>
      </c>
      <c r="B6" s="48">
        <v>6.9444444444444448E-2</v>
      </c>
      <c r="C6" s="164" t="s">
        <v>293</v>
      </c>
      <c r="D6" s="36" t="s">
        <v>33</v>
      </c>
      <c r="E6" s="263" t="s">
        <v>34</v>
      </c>
      <c r="F6" s="40">
        <v>0.11597222222222223</v>
      </c>
      <c r="G6" s="40">
        <v>0.13680555555555557</v>
      </c>
      <c r="H6" s="39"/>
      <c r="I6" s="93"/>
      <c r="J6" s="155" t="s">
        <v>294</v>
      </c>
      <c r="K6" s="42">
        <v>95</v>
      </c>
      <c r="L6" s="44">
        <v>400</v>
      </c>
      <c r="M6" s="42">
        <f t="shared" ref="M6" si="1">SUM(K6:L6)</f>
        <v>495</v>
      </c>
      <c r="N6" s="42">
        <v>30</v>
      </c>
    </row>
    <row r="7" spans="1:15" s="6" customFormat="1" ht="17.25" customHeight="1">
      <c r="A7" s="219" t="s">
        <v>295</v>
      </c>
      <c r="B7" s="222">
        <v>0.125</v>
      </c>
      <c r="C7" s="223" t="s">
        <v>296</v>
      </c>
      <c r="D7" s="100" t="s">
        <v>88</v>
      </c>
      <c r="E7" s="39" t="s">
        <v>34</v>
      </c>
      <c r="F7" s="40">
        <v>0.16319444444444445</v>
      </c>
      <c r="G7" s="40">
        <v>0.18194444444444444</v>
      </c>
      <c r="H7" s="164"/>
      <c r="I7" s="41"/>
      <c r="J7" s="155" t="s">
        <v>294</v>
      </c>
      <c r="K7" s="176">
        <v>95</v>
      </c>
      <c r="L7" s="44">
        <v>400</v>
      </c>
      <c r="M7" s="42">
        <f t="shared" si="0"/>
        <v>495</v>
      </c>
      <c r="N7" s="42">
        <v>30</v>
      </c>
    </row>
    <row r="8" spans="1:15" s="6" customFormat="1" ht="17.25" customHeight="1">
      <c r="A8" s="219" t="s">
        <v>295</v>
      </c>
      <c r="B8" s="222">
        <v>0.125</v>
      </c>
      <c r="C8" s="223" t="s">
        <v>296</v>
      </c>
      <c r="D8" s="100" t="s">
        <v>297</v>
      </c>
      <c r="E8" s="39" t="s">
        <v>34</v>
      </c>
      <c r="F8" s="40">
        <v>0.16319444444444445</v>
      </c>
      <c r="G8" s="40">
        <v>0.18194444444444444</v>
      </c>
      <c r="H8" s="164"/>
      <c r="I8" s="41"/>
      <c r="J8" s="155" t="s">
        <v>294</v>
      </c>
      <c r="K8" s="176">
        <v>95</v>
      </c>
      <c r="L8" s="44">
        <v>400</v>
      </c>
      <c r="M8" s="42">
        <f t="shared" ref="M8" si="2">SUM(K8:L8)</f>
        <v>495</v>
      </c>
      <c r="N8" s="42">
        <v>30</v>
      </c>
    </row>
    <row r="9" spans="1:15" s="6" customFormat="1" ht="17.25" customHeight="1">
      <c r="A9" s="219" t="s">
        <v>298</v>
      </c>
      <c r="B9" s="222">
        <v>0.16666666666666666</v>
      </c>
      <c r="C9" s="264" t="s">
        <v>104</v>
      </c>
      <c r="D9" s="7" t="s">
        <v>33</v>
      </c>
      <c r="E9" s="102" t="s">
        <v>34</v>
      </c>
      <c r="F9" s="40">
        <v>0.16250000000000001</v>
      </c>
      <c r="G9" s="40">
        <v>0.18263888888888888</v>
      </c>
      <c r="H9" s="164"/>
      <c r="I9" s="41"/>
      <c r="J9" s="155" t="s">
        <v>35</v>
      </c>
      <c r="K9" s="176">
        <v>60</v>
      </c>
      <c r="L9" s="44">
        <v>400</v>
      </c>
      <c r="M9" s="42">
        <f t="shared" si="0"/>
        <v>460</v>
      </c>
      <c r="N9" s="42">
        <v>30</v>
      </c>
    </row>
    <row r="10" spans="1:15" s="6" customFormat="1" ht="17.25" customHeight="1">
      <c r="A10" s="219" t="s">
        <v>299</v>
      </c>
      <c r="B10" s="222">
        <v>0.46875</v>
      </c>
      <c r="C10" s="223" t="s">
        <v>300</v>
      </c>
      <c r="D10" s="94" t="s">
        <v>151</v>
      </c>
      <c r="E10" s="265" t="s">
        <v>34</v>
      </c>
      <c r="F10" s="165">
        <v>0.46527777777777779</v>
      </c>
      <c r="G10" s="165">
        <v>0.47916666666666669</v>
      </c>
      <c r="H10" s="168"/>
      <c r="I10" s="160"/>
      <c r="J10" s="314"/>
      <c r="K10" s="156"/>
      <c r="L10" s="161">
        <v>250</v>
      </c>
      <c r="M10" s="42">
        <f t="shared" si="0"/>
        <v>250</v>
      </c>
      <c r="N10" s="42">
        <v>0</v>
      </c>
    </row>
    <row r="11" spans="1:15" s="6" customFormat="1" ht="17.25" customHeight="1">
      <c r="A11" s="219" t="s">
        <v>299</v>
      </c>
      <c r="B11" s="222">
        <v>0.46875</v>
      </c>
      <c r="C11" s="223" t="s">
        <v>300</v>
      </c>
      <c r="D11" s="94" t="s">
        <v>301</v>
      </c>
      <c r="E11" s="265" t="s">
        <v>34</v>
      </c>
      <c r="F11" s="165">
        <v>0.46527777777777779</v>
      </c>
      <c r="G11" s="165">
        <v>0.47916666666666669</v>
      </c>
      <c r="H11" s="168"/>
      <c r="I11" s="160"/>
      <c r="J11" s="314"/>
      <c r="K11" s="156"/>
      <c r="L11" s="161">
        <v>250</v>
      </c>
      <c r="M11" s="42">
        <f t="shared" ref="M11:M12" si="3">SUM(K11:L11)</f>
        <v>250</v>
      </c>
      <c r="N11" s="42">
        <v>0</v>
      </c>
    </row>
    <row r="12" spans="1:15" s="6" customFormat="1" ht="17.25" customHeight="1">
      <c r="A12" s="219" t="s">
        <v>299</v>
      </c>
      <c r="B12" s="222">
        <v>0.46875</v>
      </c>
      <c r="C12" s="223" t="s">
        <v>300</v>
      </c>
      <c r="D12" s="94" t="s">
        <v>302</v>
      </c>
      <c r="E12" s="265" t="s">
        <v>34</v>
      </c>
      <c r="F12" s="165">
        <v>0.46527777777777779</v>
      </c>
      <c r="G12" s="165">
        <v>0.47916666666666669</v>
      </c>
      <c r="H12" s="168"/>
      <c r="I12" s="160"/>
      <c r="J12" s="314"/>
      <c r="K12" s="156"/>
      <c r="L12" s="161">
        <v>250</v>
      </c>
      <c r="M12" s="42">
        <f t="shared" si="3"/>
        <v>250</v>
      </c>
      <c r="N12" s="42">
        <v>0</v>
      </c>
    </row>
    <row r="13" spans="1:15" s="6" customFormat="1" ht="17.25" customHeight="1">
      <c r="A13" s="219" t="s">
        <v>303</v>
      </c>
      <c r="B13" s="222">
        <v>0.46875</v>
      </c>
      <c r="C13" s="223" t="s">
        <v>304</v>
      </c>
      <c r="D13" s="186" t="s">
        <v>33</v>
      </c>
      <c r="E13" s="224" t="s">
        <v>34</v>
      </c>
      <c r="F13" s="217">
        <v>0.52777777777777779</v>
      </c>
      <c r="G13" s="217">
        <v>0.55902777777777779</v>
      </c>
      <c r="H13" s="148"/>
      <c r="I13" s="218"/>
      <c r="J13" s="175" t="s">
        <v>305</v>
      </c>
      <c r="K13" s="176">
        <v>235</v>
      </c>
      <c r="L13" s="44">
        <v>460</v>
      </c>
      <c r="M13" s="42">
        <f t="shared" si="0"/>
        <v>695</v>
      </c>
      <c r="N13" s="42">
        <v>30</v>
      </c>
    </row>
    <row r="14" spans="1:15" s="6" customFormat="1" ht="17.25" customHeight="1">
      <c r="A14" s="219" t="s">
        <v>306</v>
      </c>
      <c r="B14" s="220">
        <v>0.71180555555555558</v>
      </c>
      <c r="C14" s="223" t="s">
        <v>104</v>
      </c>
      <c r="D14" s="186" t="s">
        <v>88</v>
      </c>
      <c r="E14" s="102" t="s">
        <v>34</v>
      </c>
      <c r="F14" s="40">
        <v>0.72152777777777777</v>
      </c>
      <c r="G14" s="40">
        <v>0.74652777777777779</v>
      </c>
      <c r="H14" s="168"/>
      <c r="I14" s="41"/>
      <c r="J14" s="43"/>
      <c r="K14" s="42"/>
      <c r="L14" s="44">
        <v>400</v>
      </c>
      <c r="M14" s="42">
        <f t="shared" si="0"/>
        <v>400</v>
      </c>
      <c r="N14" s="42">
        <v>30</v>
      </c>
    </row>
    <row r="15" spans="1:15" s="6" customFormat="1" ht="17.25" customHeight="1">
      <c r="A15" s="162" t="s">
        <v>307</v>
      </c>
      <c r="B15" s="119">
        <v>0.77430555555555558</v>
      </c>
      <c r="C15" s="166" t="s">
        <v>104</v>
      </c>
      <c r="D15" s="7" t="s">
        <v>308</v>
      </c>
      <c r="E15" s="39" t="s">
        <v>34</v>
      </c>
      <c r="F15" s="40">
        <v>0.77083333333333337</v>
      </c>
      <c r="G15" s="40">
        <v>0.79861111111111116</v>
      </c>
      <c r="H15" s="39"/>
      <c r="I15" s="41"/>
      <c r="J15" s="175"/>
      <c r="K15" s="176"/>
      <c r="L15" s="177">
        <v>400</v>
      </c>
      <c r="M15" s="42">
        <f t="shared" si="0"/>
        <v>400</v>
      </c>
      <c r="N15" s="42">
        <v>30</v>
      </c>
    </row>
    <row r="16" spans="1:15" s="6" customFormat="1" ht="17.25" customHeight="1">
      <c r="A16" s="90" t="s">
        <v>309</v>
      </c>
      <c r="B16" s="173">
        <v>0.75347222222222221</v>
      </c>
      <c r="C16" s="166" t="s">
        <v>310</v>
      </c>
      <c r="D16" s="7" t="s">
        <v>88</v>
      </c>
      <c r="E16" s="39" t="s">
        <v>34</v>
      </c>
      <c r="F16" s="40">
        <v>0.78402777777777777</v>
      </c>
      <c r="G16" s="40">
        <v>0.80694444444444446</v>
      </c>
      <c r="H16" s="39"/>
      <c r="I16" s="41"/>
      <c r="J16" s="43" t="s">
        <v>40</v>
      </c>
      <c r="K16" s="42">
        <v>35</v>
      </c>
      <c r="L16" s="44">
        <v>400</v>
      </c>
      <c r="M16" s="42">
        <f t="shared" si="0"/>
        <v>435</v>
      </c>
      <c r="N16" s="42">
        <v>30</v>
      </c>
    </row>
    <row r="17" spans="1:14" s="6" customFormat="1" ht="17.25" customHeight="1">
      <c r="A17" s="90" t="s">
        <v>309</v>
      </c>
      <c r="B17" s="173">
        <v>0.75347222222222221</v>
      </c>
      <c r="C17" s="166" t="s">
        <v>310</v>
      </c>
      <c r="D17" s="7" t="s">
        <v>311</v>
      </c>
      <c r="E17" s="39" t="s">
        <v>34</v>
      </c>
      <c r="F17" s="40">
        <v>0.78402777777777777</v>
      </c>
      <c r="G17" s="40">
        <v>0.80694444444444446</v>
      </c>
      <c r="H17" s="39"/>
      <c r="I17" s="41"/>
      <c r="J17" s="43" t="s">
        <v>40</v>
      </c>
      <c r="K17" s="42">
        <v>35</v>
      </c>
      <c r="L17" s="44">
        <v>400</v>
      </c>
      <c r="M17" s="42">
        <f t="shared" ref="M17" si="4">SUM(K17:L17)</f>
        <v>435</v>
      </c>
      <c r="N17" s="42">
        <v>30</v>
      </c>
    </row>
    <row r="18" spans="1:14" ht="17.25" customHeight="1">
      <c r="A18" s="158"/>
      <c r="B18" s="46"/>
      <c r="C18" s="169"/>
      <c r="D18" s="157"/>
      <c r="E18" s="170"/>
      <c r="F18" s="171"/>
      <c r="G18" s="171"/>
      <c r="H18" s="170"/>
      <c r="I18" s="172"/>
      <c r="J18" s="155"/>
      <c r="K18" s="156"/>
      <c r="L18" s="42"/>
      <c r="M18" s="156">
        <f t="shared" si="0"/>
        <v>0</v>
      </c>
      <c r="N18" s="42"/>
    </row>
    <row r="19" spans="1:14" ht="17.25" customHeight="1">
      <c r="A19" s="158"/>
      <c r="B19" s="167"/>
      <c r="C19" s="166"/>
      <c r="D19" s="159"/>
      <c r="E19" s="164"/>
      <c r="F19" s="165"/>
      <c r="G19" s="165"/>
      <c r="H19" s="164"/>
      <c r="I19" s="160"/>
      <c r="J19" s="155"/>
      <c r="K19" s="156"/>
      <c r="L19" s="161"/>
      <c r="M19" s="156">
        <f t="shared" si="0"/>
        <v>0</v>
      </c>
      <c r="N19" s="42"/>
    </row>
    <row r="20" spans="1:14" ht="17.25" customHeight="1">
      <c r="A20" s="158"/>
      <c r="B20" s="173"/>
      <c r="C20" s="157"/>
      <c r="D20" s="159"/>
      <c r="E20" s="164"/>
      <c r="F20" s="165"/>
      <c r="G20" s="165"/>
      <c r="H20" s="164"/>
      <c r="I20" s="160"/>
      <c r="J20" s="155"/>
      <c r="K20" s="156"/>
      <c r="L20" s="161"/>
      <c r="M20" s="156">
        <f t="shared" si="0"/>
        <v>0</v>
      </c>
      <c r="N20" s="42"/>
    </row>
    <row r="21" spans="1:14" ht="17.25" customHeight="1">
      <c r="A21" s="158"/>
      <c r="B21" s="167"/>
      <c r="C21" s="166"/>
      <c r="D21" s="159"/>
      <c r="E21" s="164"/>
      <c r="F21" s="165"/>
      <c r="G21" s="165"/>
      <c r="H21" s="164"/>
      <c r="I21" s="160"/>
      <c r="J21" s="155"/>
      <c r="K21" s="156"/>
      <c r="L21" s="161"/>
      <c r="M21" s="156">
        <f t="shared" si="0"/>
        <v>0</v>
      </c>
      <c r="N21" s="42"/>
    </row>
    <row r="22" spans="1:14" ht="17.25" customHeight="1">
      <c r="A22" s="158"/>
      <c r="B22" s="167"/>
      <c r="C22" s="164"/>
      <c r="D22" s="159"/>
      <c r="E22" s="164"/>
      <c r="F22" s="165"/>
      <c r="G22" s="165"/>
      <c r="H22" s="164"/>
      <c r="I22" s="160"/>
      <c r="J22" s="155"/>
      <c r="K22" s="156"/>
      <c r="L22" s="161"/>
      <c r="M22" s="156">
        <f t="shared" si="0"/>
        <v>0</v>
      </c>
      <c r="N22" s="42"/>
    </row>
    <row r="23" spans="1:14" ht="17.25" customHeight="1">
      <c r="A23" s="158"/>
      <c r="B23" s="173"/>
      <c r="C23" s="164"/>
      <c r="D23" s="159"/>
      <c r="E23" s="164"/>
      <c r="F23" s="165"/>
      <c r="G23" s="165"/>
      <c r="H23" s="168"/>
      <c r="I23" s="160"/>
      <c r="J23" s="155"/>
      <c r="K23" s="156"/>
      <c r="L23" s="161"/>
      <c r="M23" s="156">
        <f t="shared" si="0"/>
        <v>0</v>
      </c>
      <c r="N23" s="42"/>
    </row>
    <row r="24" spans="1:14" ht="17.25" customHeight="1">
      <c r="A24" s="158"/>
      <c r="B24" s="167"/>
      <c r="C24" s="164"/>
      <c r="D24" s="174"/>
      <c r="E24" s="164"/>
      <c r="F24" s="165"/>
      <c r="G24" s="165"/>
      <c r="H24" s="168"/>
      <c r="I24" s="160"/>
      <c r="J24" s="160"/>
      <c r="K24" s="156"/>
      <c r="L24" s="161"/>
      <c r="M24" s="156">
        <f t="shared" si="0"/>
        <v>0</v>
      </c>
      <c r="N24" s="42"/>
    </row>
    <row r="25" spans="1:14">
      <c r="A25" s="158"/>
      <c r="B25" s="167"/>
      <c r="C25" s="164"/>
      <c r="D25" s="159"/>
      <c r="E25" s="164"/>
      <c r="F25" s="165"/>
      <c r="G25" s="165"/>
      <c r="H25" s="164"/>
      <c r="I25" s="160"/>
      <c r="J25" s="155"/>
      <c r="K25" s="156"/>
      <c r="L25" s="161"/>
      <c r="M25" s="156">
        <f t="shared" si="0"/>
        <v>0</v>
      </c>
      <c r="N25" s="42"/>
    </row>
    <row r="26" spans="1:14">
      <c r="A26" s="158"/>
      <c r="B26" s="173"/>
      <c r="C26" s="166"/>
      <c r="D26" s="159"/>
      <c r="E26" s="164"/>
      <c r="F26" s="165"/>
      <c r="G26" s="165"/>
      <c r="H26" s="164"/>
      <c r="I26" s="160"/>
      <c r="J26" s="155"/>
      <c r="K26" s="156"/>
      <c r="L26" s="161"/>
      <c r="M26" s="156">
        <f t="shared" si="0"/>
        <v>0</v>
      </c>
      <c r="N26" s="42"/>
    </row>
    <row r="27" spans="1:14">
      <c r="A27" s="51"/>
      <c r="B27" s="62"/>
      <c r="C27" s="53"/>
      <c r="D27" s="64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9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6">
        <f t="shared" si="0"/>
        <v>0</v>
      </c>
      <c r="N31" s="42"/>
    </row>
    <row r="32" spans="1:14">
      <c r="A32" s="51"/>
      <c r="B32" s="62"/>
      <c r="C32" s="53"/>
      <c r="D32" s="63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4"/>
      <c r="B35" s="15"/>
      <c r="C35" s="10"/>
      <c r="D35" s="16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4">
      <c r="A39" s="17"/>
      <c r="B39" s="18"/>
      <c r="C39" s="10"/>
      <c r="D39" s="19"/>
      <c r="E39" s="10"/>
      <c r="F39" s="61"/>
      <c r="G39" s="61"/>
      <c r="H39" s="10"/>
      <c r="I39" s="11"/>
      <c r="J39" s="13"/>
      <c r="K39" s="12"/>
      <c r="L39" s="12"/>
      <c r="M39" s="156">
        <f t="shared" si="0"/>
        <v>0</v>
      </c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6935</v>
      </c>
      <c r="N40" s="26">
        <f>SUM(N2:N39)</f>
        <v>390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O134">
    <sortCondition ref="B2:B134"/>
  </sortState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6955-5A27-4549-961C-BB274CEAEAC1}">
  <dimension ref="A1:N134"/>
  <sheetViews>
    <sheetView topLeftCell="A8" zoomScale="73" zoomScaleNormal="73" workbookViewId="0">
      <selection activeCell="N16" sqref="N16"/>
    </sheetView>
  </sheetViews>
  <sheetFormatPr defaultColWidth="8.75" defaultRowHeight="15"/>
  <cols>
    <col min="1" max="1" width="9" style="29"/>
    <col min="3" max="3" width="56" customWidth="1"/>
    <col min="4" max="4" width="32.375" customWidth="1"/>
    <col min="5" max="5" width="12" customWidth="1"/>
    <col min="6" max="7" width="9" bestFit="1" customWidth="1"/>
    <col min="8" max="8" width="11.5" bestFit="1" customWidth="1"/>
    <col min="9" max="9" width="9.5" customWidth="1"/>
    <col min="10" max="10" width="38.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1" customFormat="1" ht="18" customHeight="1">
      <c r="A2" s="187" t="s">
        <v>312</v>
      </c>
      <c r="B2" s="188">
        <v>2.0833333333333332E-2</v>
      </c>
      <c r="C2" s="189" t="s">
        <v>104</v>
      </c>
      <c r="D2" s="7" t="s">
        <v>151</v>
      </c>
      <c r="E2" s="94" t="s">
        <v>34</v>
      </c>
      <c r="F2" s="190">
        <v>2.0833333333333332E-2</v>
      </c>
      <c r="G2" s="190">
        <v>3.8194444444444448E-2</v>
      </c>
      <c r="H2" s="94"/>
      <c r="I2" s="191"/>
      <c r="J2" s="175" t="s">
        <v>35</v>
      </c>
      <c r="K2" s="193">
        <v>60</v>
      </c>
      <c r="L2" s="194">
        <v>400</v>
      </c>
      <c r="M2" s="42">
        <f t="shared" ref="M2:M38" si="0">SUM(K2:L2)</f>
        <v>460</v>
      </c>
      <c r="N2" s="42">
        <v>30</v>
      </c>
    </row>
    <row r="3" spans="1:14" s="111" customFormat="1" ht="18" customHeight="1">
      <c r="A3" s="297" t="s">
        <v>313</v>
      </c>
      <c r="B3" s="138">
        <v>8.3333333333333329E-2</v>
      </c>
      <c r="C3" s="139" t="s">
        <v>104</v>
      </c>
      <c r="D3" s="186" t="s">
        <v>88</v>
      </c>
      <c r="E3" s="140" t="s">
        <v>34</v>
      </c>
      <c r="F3" s="141">
        <v>8.1250000000000003E-2</v>
      </c>
      <c r="G3" s="141">
        <v>0.1</v>
      </c>
      <c r="H3" s="140"/>
      <c r="I3" s="142"/>
      <c r="J3" s="93" t="s">
        <v>35</v>
      </c>
      <c r="K3" s="137">
        <v>60</v>
      </c>
      <c r="L3" s="136">
        <v>400</v>
      </c>
      <c r="M3" s="156">
        <f t="shared" si="0"/>
        <v>460</v>
      </c>
      <c r="N3" s="42">
        <v>30</v>
      </c>
    </row>
    <row r="4" spans="1:14" s="111" customFormat="1" ht="18" customHeight="1">
      <c r="A4" s="297" t="s">
        <v>314</v>
      </c>
      <c r="B4" s="138">
        <v>5.5555555555555552E-2</v>
      </c>
      <c r="C4" s="139" t="s">
        <v>315</v>
      </c>
      <c r="D4" s="100" t="s">
        <v>151</v>
      </c>
      <c r="E4" s="140" t="s">
        <v>34</v>
      </c>
      <c r="F4" s="141">
        <v>8.3333333333333329E-2</v>
      </c>
      <c r="G4" s="141">
        <v>0.10277777777777777</v>
      </c>
      <c r="H4" s="140"/>
      <c r="I4" s="142"/>
      <c r="J4" s="93" t="s">
        <v>316</v>
      </c>
      <c r="K4" s="137">
        <v>95</v>
      </c>
      <c r="L4" s="136">
        <v>400</v>
      </c>
      <c r="M4" s="156">
        <f t="shared" si="0"/>
        <v>495</v>
      </c>
      <c r="N4" s="42">
        <v>30</v>
      </c>
    </row>
    <row r="5" spans="1:14" s="111" customFormat="1" ht="18" customHeight="1">
      <c r="A5" s="297" t="s">
        <v>314</v>
      </c>
      <c r="B5" s="138">
        <v>5.5555555555555552E-2</v>
      </c>
      <c r="C5" s="139" t="s">
        <v>315</v>
      </c>
      <c r="D5" s="100" t="s">
        <v>317</v>
      </c>
      <c r="E5" s="140" t="s">
        <v>34</v>
      </c>
      <c r="F5" s="141">
        <v>8.3333333333333329E-2</v>
      </c>
      <c r="G5" s="141">
        <v>0.10277777777777777</v>
      </c>
      <c r="H5" s="140"/>
      <c r="I5" s="142"/>
      <c r="J5" s="93" t="s">
        <v>316</v>
      </c>
      <c r="K5" s="137">
        <v>95</v>
      </c>
      <c r="L5" s="136">
        <v>400</v>
      </c>
      <c r="M5" s="156">
        <f t="shared" ref="M5" si="1">SUM(K5:L5)</f>
        <v>495</v>
      </c>
      <c r="N5" s="42">
        <v>30</v>
      </c>
    </row>
    <row r="6" spans="1:14" s="111" customFormat="1" ht="18" customHeight="1">
      <c r="A6" s="195" t="s">
        <v>318</v>
      </c>
      <c r="B6" s="196">
        <v>8.6805555555555552E-2</v>
      </c>
      <c r="C6" s="148" t="s">
        <v>220</v>
      </c>
      <c r="D6" s="92" t="s">
        <v>88</v>
      </c>
      <c r="E6" s="39" t="s">
        <v>34</v>
      </c>
      <c r="F6" s="40">
        <v>0.125</v>
      </c>
      <c r="G6" s="40">
        <v>0.1423611111111111</v>
      </c>
      <c r="H6" s="49"/>
      <c r="I6" s="41"/>
      <c r="J6" s="43" t="s">
        <v>56</v>
      </c>
      <c r="K6" s="42">
        <v>95</v>
      </c>
      <c r="L6" s="44">
        <v>400</v>
      </c>
      <c r="M6" s="42">
        <f t="shared" si="0"/>
        <v>495</v>
      </c>
      <c r="N6" s="42">
        <v>30</v>
      </c>
    </row>
    <row r="7" spans="1:14" s="111" customFormat="1" ht="18" customHeight="1">
      <c r="A7" s="45" t="s">
        <v>319</v>
      </c>
      <c r="B7" s="46">
        <v>0.20833333333333334</v>
      </c>
      <c r="C7" s="39" t="s">
        <v>48</v>
      </c>
      <c r="D7" s="100" t="s">
        <v>317</v>
      </c>
      <c r="E7" s="102" t="s">
        <v>34</v>
      </c>
      <c r="F7" s="40">
        <v>0.20972222222222223</v>
      </c>
      <c r="G7" s="40">
        <v>0.22916666666666666</v>
      </c>
      <c r="H7" s="39"/>
      <c r="I7" s="41"/>
      <c r="J7" s="43" t="s">
        <v>171</v>
      </c>
      <c r="K7" s="42">
        <v>60</v>
      </c>
      <c r="L7" s="44">
        <v>400</v>
      </c>
      <c r="M7" s="42">
        <f t="shared" si="0"/>
        <v>460</v>
      </c>
      <c r="N7" s="42">
        <v>30</v>
      </c>
    </row>
    <row r="8" spans="1:14" s="111" customFormat="1" ht="18" customHeight="1">
      <c r="A8" s="45" t="s">
        <v>320</v>
      </c>
      <c r="B8" s="46">
        <v>0.55208333333333337</v>
      </c>
      <c r="C8" s="39" t="s">
        <v>48</v>
      </c>
      <c r="D8" s="100" t="s">
        <v>321</v>
      </c>
      <c r="E8" s="39" t="s">
        <v>34</v>
      </c>
      <c r="F8" s="40">
        <v>0.54513888888888884</v>
      </c>
      <c r="G8" s="40">
        <v>0.57361111111111107</v>
      </c>
      <c r="H8" s="49"/>
      <c r="I8" s="41"/>
      <c r="J8" s="43"/>
      <c r="K8" s="42"/>
      <c r="L8" s="44">
        <v>400</v>
      </c>
      <c r="M8" s="42">
        <f t="shared" si="0"/>
        <v>400</v>
      </c>
      <c r="N8" s="42">
        <v>30</v>
      </c>
    </row>
    <row r="9" spans="1:14" s="111" customFormat="1" ht="18" customHeight="1">
      <c r="A9" s="45" t="s">
        <v>320</v>
      </c>
      <c r="B9" s="46">
        <v>0.55208333333333337</v>
      </c>
      <c r="C9" s="39" t="s">
        <v>48</v>
      </c>
      <c r="D9" s="100" t="s">
        <v>322</v>
      </c>
      <c r="E9" s="39" t="s">
        <v>34</v>
      </c>
      <c r="F9" s="40">
        <v>0.54513888888888884</v>
      </c>
      <c r="G9" s="40">
        <v>0.57361111111111107</v>
      </c>
      <c r="H9" s="49"/>
      <c r="I9" s="41"/>
      <c r="J9" s="43"/>
      <c r="K9" s="42"/>
      <c r="L9" s="44">
        <v>400</v>
      </c>
      <c r="M9" s="42">
        <f t="shared" ref="M9" si="2">SUM(K9:L9)</f>
        <v>400</v>
      </c>
      <c r="N9" s="42">
        <v>30</v>
      </c>
    </row>
    <row r="10" spans="1:14" ht="18" customHeight="1">
      <c r="A10" s="45" t="s">
        <v>323</v>
      </c>
      <c r="B10" s="48">
        <v>0.54861111111111116</v>
      </c>
      <c r="C10" s="39" t="s">
        <v>64</v>
      </c>
      <c r="D10" s="7" t="s">
        <v>33</v>
      </c>
      <c r="E10" s="39" t="s">
        <v>34</v>
      </c>
      <c r="F10" s="40">
        <v>0.56944444444444442</v>
      </c>
      <c r="G10" s="40">
        <v>0.59027777777777779</v>
      </c>
      <c r="H10" s="49"/>
      <c r="I10" s="41"/>
      <c r="J10" s="43" t="s">
        <v>66</v>
      </c>
      <c r="K10" s="42">
        <v>35</v>
      </c>
      <c r="L10" s="44">
        <v>400</v>
      </c>
      <c r="M10" s="42">
        <f t="shared" si="0"/>
        <v>435</v>
      </c>
      <c r="N10" s="42">
        <v>30</v>
      </c>
    </row>
    <row r="11" spans="1:14" ht="18" customHeight="1">
      <c r="A11" s="313" t="s">
        <v>323</v>
      </c>
      <c r="B11" s="167">
        <v>0.54861111111111116</v>
      </c>
      <c r="C11" s="164" t="s">
        <v>64</v>
      </c>
      <c r="D11" s="159" t="s">
        <v>321</v>
      </c>
      <c r="E11" s="164" t="s">
        <v>34</v>
      </c>
      <c r="F11" s="165">
        <v>0.56944444444444442</v>
      </c>
      <c r="G11" s="165">
        <v>0.59027777777777779</v>
      </c>
      <c r="H11" s="168"/>
      <c r="I11" s="160"/>
      <c r="J11" s="155" t="s">
        <v>66</v>
      </c>
      <c r="K11" s="156">
        <v>35</v>
      </c>
      <c r="L11" s="161">
        <v>400</v>
      </c>
      <c r="M11" s="156">
        <f t="shared" si="0"/>
        <v>435</v>
      </c>
      <c r="N11" s="156">
        <v>30</v>
      </c>
    </row>
    <row r="12" spans="1:14" ht="18" customHeight="1">
      <c r="A12" s="45" t="s">
        <v>324</v>
      </c>
      <c r="B12" s="48">
        <v>0.91666666666666663</v>
      </c>
      <c r="C12" s="39" t="s">
        <v>104</v>
      </c>
      <c r="D12" s="100" t="s">
        <v>88</v>
      </c>
      <c r="E12" s="39" t="s">
        <v>34</v>
      </c>
      <c r="F12" s="40">
        <v>0.9194444444444444</v>
      </c>
      <c r="G12" s="40">
        <v>0.94166666666666665</v>
      </c>
      <c r="H12" s="39"/>
      <c r="I12" s="41"/>
      <c r="J12" s="43"/>
      <c r="K12" s="42"/>
      <c r="L12" s="44"/>
      <c r="M12" s="42">
        <v>400</v>
      </c>
      <c r="N12" s="42">
        <v>30</v>
      </c>
    </row>
    <row r="13" spans="1:14" ht="18" customHeight="1">
      <c r="A13" s="45" t="s">
        <v>325</v>
      </c>
      <c r="B13" s="48">
        <v>0.9375</v>
      </c>
      <c r="C13" s="39" t="s">
        <v>326</v>
      </c>
      <c r="D13" s="48" t="s">
        <v>88</v>
      </c>
      <c r="E13" s="39" t="s">
        <v>34</v>
      </c>
      <c r="F13" s="40">
        <v>0.97222222222222221</v>
      </c>
      <c r="G13" s="40">
        <v>0.99444444444444446</v>
      </c>
      <c r="H13" s="39"/>
      <c r="I13" s="41"/>
      <c r="J13" s="43" t="s">
        <v>327</v>
      </c>
      <c r="K13" s="42">
        <v>95</v>
      </c>
      <c r="L13" s="44">
        <v>400</v>
      </c>
      <c r="M13" s="42">
        <f t="shared" si="0"/>
        <v>495</v>
      </c>
      <c r="N13" s="42">
        <v>30</v>
      </c>
    </row>
    <row r="14" spans="1:14" ht="18" customHeight="1">
      <c r="A14" s="45" t="s">
        <v>325</v>
      </c>
      <c r="B14" s="48">
        <v>0.9375</v>
      </c>
      <c r="C14" s="39" t="s">
        <v>326</v>
      </c>
      <c r="D14" s="48" t="s">
        <v>328</v>
      </c>
      <c r="E14" s="39" t="s">
        <v>34</v>
      </c>
      <c r="F14" s="40">
        <v>0.97222222222222221</v>
      </c>
      <c r="G14" s="40">
        <v>0.99444444444444446</v>
      </c>
      <c r="H14" s="39"/>
      <c r="I14" s="41"/>
      <c r="J14" s="43" t="s">
        <v>327</v>
      </c>
      <c r="K14" s="42">
        <v>95</v>
      </c>
      <c r="L14" s="44">
        <v>400</v>
      </c>
      <c r="M14" s="42">
        <f t="shared" ref="M14" si="3">SUM(K14:L14)</f>
        <v>495</v>
      </c>
      <c r="N14" s="42">
        <v>30</v>
      </c>
    </row>
    <row r="15" spans="1:14" s="111" customFormat="1" ht="18" customHeight="1">
      <c r="A15" s="297" t="s">
        <v>329</v>
      </c>
      <c r="B15" s="138">
        <v>0.97916666666666663</v>
      </c>
      <c r="C15" s="139" t="s">
        <v>104</v>
      </c>
      <c r="D15" s="166" t="s">
        <v>330</v>
      </c>
      <c r="E15" s="140" t="s">
        <v>34</v>
      </c>
      <c r="F15" s="141">
        <v>0.97916666666666663</v>
      </c>
      <c r="G15" s="141">
        <v>0.99930555555555556</v>
      </c>
      <c r="H15" s="140"/>
      <c r="I15" s="142"/>
      <c r="J15" s="93"/>
      <c r="K15" s="137"/>
      <c r="L15" s="136">
        <v>400</v>
      </c>
      <c r="M15" s="156">
        <f t="shared" si="0"/>
        <v>400</v>
      </c>
      <c r="N15" s="42">
        <v>30</v>
      </c>
    </row>
    <row r="16" spans="1:14">
      <c r="A16" s="1" t="s">
        <v>331</v>
      </c>
      <c r="B16" s="8">
        <v>0.74652777777777779</v>
      </c>
      <c r="C16" s="53" t="s">
        <v>332</v>
      </c>
      <c r="D16" s="36" t="s">
        <v>317</v>
      </c>
      <c r="E16" s="53" t="s">
        <v>34</v>
      </c>
      <c r="F16" s="61">
        <v>0.80902777777777779</v>
      </c>
      <c r="G16" s="61">
        <v>0.81458333333333333</v>
      </c>
      <c r="H16" s="53"/>
      <c r="I16" s="55"/>
      <c r="J16" s="56" t="s">
        <v>66</v>
      </c>
      <c r="K16" s="50">
        <v>35</v>
      </c>
      <c r="L16" s="50">
        <v>300</v>
      </c>
      <c r="M16" s="156">
        <f t="shared" si="0"/>
        <v>335</v>
      </c>
      <c r="N16" s="42">
        <v>30</v>
      </c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6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6">
        <f>SUM(K21:L21)</f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64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9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63"/>
      <c r="E29" s="10"/>
      <c r="F29" s="61"/>
      <c r="G29" s="61"/>
      <c r="H29" s="10"/>
      <c r="I29" s="11"/>
      <c r="J29" s="13"/>
      <c r="K29" s="12"/>
      <c r="L29" s="12"/>
      <c r="M29" s="156">
        <f t="shared" si="0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6">
        <f t="shared" si="0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4"/>
      <c r="B38" s="15"/>
      <c r="C38" s="53"/>
      <c r="D38" s="64"/>
      <c r="E38" s="53"/>
      <c r="F38" s="62"/>
      <c r="G38" s="62"/>
      <c r="H38" s="53"/>
      <c r="I38" s="55"/>
      <c r="J38" s="56"/>
      <c r="K38" s="50"/>
      <c r="L38" s="50"/>
      <c r="M38" s="156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6660</v>
      </c>
      <c r="N40" s="26">
        <f>SUM(N2:N39)</f>
        <v>450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92F0-A94A-4A36-B968-83AC51C38A83}">
  <dimension ref="A1:P134"/>
  <sheetViews>
    <sheetView zoomScale="73" zoomScaleNormal="73" workbookViewId="0">
      <selection activeCell="C12" sqref="C12"/>
    </sheetView>
  </sheetViews>
  <sheetFormatPr defaultColWidth="8.75" defaultRowHeight="15"/>
  <cols>
    <col min="1" max="1" width="8.75" style="29"/>
    <col min="3" max="3" width="56" customWidth="1"/>
    <col min="4" max="4" width="32.375" customWidth="1"/>
    <col min="5" max="5" width="12" customWidth="1"/>
    <col min="6" max="7" width="9" bestFit="1" customWidth="1"/>
    <col min="8" max="8" width="11.5" bestFit="1" customWidth="1"/>
    <col min="9" max="9" width="9.5" customWidth="1"/>
    <col min="10" max="10" width="38.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1" customFormat="1" ht="18" customHeight="1">
      <c r="A2" s="187" t="s">
        <v>333</v>
      </c>
      <c r="B2" s="188">
        <v>0.125</v>
      </c>
      <c r="C2" s="189" t="s">
        <v>161</v>
      </c>
      <c r="D2" s="328" t="s">
        <v>99</v>
      </c>
      <c r="E2" s="94" t="s">
        <v>34</v>
      </c>
      <c r="F2" s="190">
        <v>0.12361111111111112</v>
      </c>
      <c r="G2" s="190">
        <v>0.1423611111111111</v>
      </c>
      <c r="H2" s="94"/>
      <c r="I2" s="191"/>
      <c r="J2" s="175" t="s">
        <v>105</v>
      </c>
      <c r="K2" s="193">
        <v>60</v>
      </c>
      <c r="L2" s="194">
        <v>400</v>
      </c>
      <c r="M2" s="42">
        <f t="shared" ref="M2:M6" si="0">SUM(K2:L2)</f>
        <v>460</v>
      </c>
      <c r="N2" s="42">
        <v>30</v>
      </c>
    </row>
    <row r="3" spans="1:16" s="111" customFormat="1" ht="18" customHeight="1">
      <c r="A3" s="187" t="s">
        <v>334</v>
      </c>
      <c r="B3" s="188">
        <v>0.10416666666666667</v>
      </c>
      <c r="C3" s="189" t="s">
        <v>102</v>
      </c>
      <c r="D3" s="7" t="s">
        <v>335</v>
      </c>
      <c r="E3" s="94" t="s">
        <v>34</v>
      </c>
      <c r="F3" s="190">
        <v>0.12013888888888889</v>
      </c>
      <c r="G3" s="190">
        <v>0.13958333333333334</v>
      </c>
      <c r="H3" s="94"/>
      <c r="I3" s="191"/>
      <c r="J3" s="175" t="s">
        <v>336</v>
      </c>
      <c r="K3" s="193">
        <v>175</v>
      </c>
      <c r="L3" s="194">
        <v>400</v>
      </c>
      <c r="M3" s="42">
        <f t="shared" si="0"/>
        <v>575</v>
      </c>
      <c r="N3" s="42">
        <v>30</v>
      </c>
    </row>
    <row r="4" spans="1:16" s="111" customFormat="1" ht="18" customHeight="1">
      <c r="A4" s="187" t="s">
        <v>334</v>
      </c>
      <c r="B4" s="188">
        <v>0.10416666666666667</v>
      </c>
      <c r="C4" s="189" t="s">
        <v>102</v>
      </c>
      <c r="D4" s="7" t="s">
        <v>337</v>
      </c>
      <c r="E4" s="94" t="s">
        <v>34</v>
      </c>
      <c r="F4" s="190">
        <v>0.12013888888888889</v>
      </c>
      <c r="G4" s="190">
        <v>0.13958333333333334</v>
      </c>
      <c r="H4" s="94"/>
      <c r="I4" s="191"/>
      <c r="J4" s="175" t="s">
        <v>271</v>
      </c>
      <c r="K4" s="193">
        <v>95</v>
      </c>
      <c r="L4" s="194">
        <v>400</v>
      </c>
      <c r="M4" s="42">
        <f t="shared" ref="M4" si="1">SUM(K4:L4)</f>
        <v>495</v>
      </c>
      <c r="N4" s="42">
        <v>30</v>
      </c>
    </row>
    <row r="5" spans="1:16" s="111" customFormat="1" ht="18" customHeight="1">
      <c r="A5" s="187" t="s">
        <v>334</v>
      </c>
      <c r="B5" s="188">
        <v>0.10416666666666667</v>
      </c>
      <c r="C5" s="189" t="s">
        <v>102</v>
      </c>
      <c r="D5" s="419" t="s">
        <v>330</v>
      </c>
      <c r="E5" s="94" t="s">
        <v>34</v>
      </c>
      <c r="F5" s="190">
        <v>0.12013888888888889</v>
      </c>
      <c r="G5" s="190">
        <v>0.13958333333333334</v>
      </c>
      <c r="H5" s="94"/>
      <c r="I5" s="191"/>
      <c r="J5" s="175" t="s">
        <v>271</v>
      </c>
      <c r="K5" s="193">
        <v>95</v>
      </c>
      <c r="L5" s="194">
        <v>400</v>
      </c>
      <c r="M5" s="42">
        <f t="shared" ref="M4:M5" si="2">SUM(K5:L5)</f>
        <v>495</v>
      </c>
      <c r="N5" s="42">
        <v>30</v>
      </c>
    </row>
    <row r="6" spans="1:16" s="111" customFormat="1" ht="18" customHeight="1">
      <c r="A6" s="195" t="s">
        <v>338</v>
      </c>
      <c r="B6" s="196">
        <v>0.51736111111111116</v>
      </c>
      <c r="C6" s="148" t="s">
        <v>339</v>
      </c>
      <c r="D6" s="92" t="s">
        <v>99</v>
      </c>
      <c r="E6" s="39" t="s">
        <v>34</v>
      </c>
      <c r="F6" s="40">
        <v>0.54166666666666663</v>
      </c>
      <c r="G6" s="40">
        <v>0.56944444444444442</v>
      </c>
      <c r="H6" s="49"/>
      <c r="I6" s="41"/>
      <c r="J6" s="43"/>
      <c r="K6" s="42"/>
      <c r="L6" s="44">
        <v>400</v>
      </c>
      <c r="M6" s="42">
        <f t="shared" si="0"/>
        <v>400</v>
      </c>
      <c r="N6" s="42">
        <v>30</v>
      </c>
    </row>
    <row r="7" spans="1:16" s="111" customFormat="1" ht="18" customHeight="1">
      <c r="A7" s="195" t="s">
        <v>340</v>
      </c>
      <c r="B7" s="46">
        <v>0.59722222222222221</v>
      </c>
      <c r="C7" s="39" t="s">
        <v>161</v>
      </c>
      <c r="D7" s="186" t="s">
        <v>341</v>
      </c>
      <c r="E7" s="102" t="s">
        <v>34</v>
      </c>
      <c r="F7" s="40">
        <v>0.60069444444444442</v>
      </c>
      <c r="G7" s="40">
        <v>0.62152777777777779</v>
      </c>
      <c r="H7" s="39"/>
      <c r="I7" s="41"/>
      <c r="J7" s="43"/>
      <c r="K7" s="42"/>
      <c r="L7" s="44">
        <v>400</v>
      </c>
      <c r="M7" s="42">
        <f t="shared" ref="M7:M38" si="3">SUM(K7:L7)</f>
        <v>400</v>
      </c>
      <c r="N7" s="42">
        <v>30</v>
      </c>
    </row>
    <row r="8" spans="1:16" s="111" customFormat="1">
      <c r="A8" s="45" t="s">
        <v>342</v>
      </c>
      <c r="B8" s="46">
        <v>0.61805555555555558</v>
      </c>
      <c r="C8" s="187" t="s">
        <v>197</v>
      </c>
      <c r="D8" s="188" t="s">
        <v>341</v>
      </c>
      <c r="E8" s="189" t="s">
        <v>34</v>
      </c>
      <c r="F8" s="126">
        <v>0.63888888888888884</v>
      </c>
      <c r="G8" s="190">
        <v>0.65972222222222221</v>
      </c>
      <c r="H8" s="190"/>
      <c r="I8" s="190"/>
      <c r="J8" s="94" t="s">
        <v>40</v>
      </c>
      <c r="K8" s="193">
        <v>35</v>
      </c>
      <c r="L8" s="194">
        <v>400</v>
      </c>
      <c r="M8" s="42">
        <f t="shared" si="3"/>
        <v>435</v>
      </c>
      <c r="N8" s="42">
        <v>30</v>
      </c>
      <c r="O8" s="42"/>
      <c r="P8" s="42"/>
    </row>
    <row r="9" spans="1:16" s="111" customFormat="1" ht="18" customHeight="1">
      <c r="A9" s="45" t="s">
        <v>342</v>
      </c>
      <c r="B9" s="46">
        <v>0.61805555555555558</v>
      </c>
      <c r="C9" s="187" t="s">
        <v>197</v>
      </c>
      <c r="D9" s="420" t="s">
        <v>151</v>
      </c>
      <c r="E9" s="189" t="s">
        <v>34</v>
      </c>
      <c r="F9" s="126">
        <v>0.63888888888888884</v>
      </c>
      <c r="G9" s="190">
        <v>0.65972222222222221</v>
      </c>
      <c r="H9" s="420"/>
      <c r="I9" s="421"/>
      <c r="J9" s="94" t="s">
        <v>40</v>
      </c>
      <c r="K9" s="193">
        <v>35</v>
      </c>
      <c r="L9" s="194">
        <v>400</v>
      </c>
      <c r="M9" s="42">
        <f t="shared" si="3"/>
        <v>435</v>
      </c>
      <c r="N9" s="42">
        <v>30</v>
      </c>
    </row>
    <row r="10" spans="1:16" ht="18" customHeight="1">
      <c r="A10" s="45" t="s">
        <v>343</v>
      </c>
      <c r="B10" s="48">
        <v>0.65972222222222221</v>
      </c>
      <c r="C10" s="39" t="s">
        <v>161</v>
      </c>
      <c r="D10" s="166" t="s">
        <v>99</v>
      </c>
      <c r="E10" s="39" t="s">
        <v>127</v>
      </c>
      <c r="F10" s="40"/>
      <c r="G10" s="40"/>
      <c r="H10" s="49"/>
      <c r="I10" s="41"/>
      <c r="J10" s="43"/>
      <c r="K10" s="42"/>
      <c r="L10" s="44">
        <v>400</v>
      </c>
      <c r="M10" s="42">
        <f t="shared" si="3"/>
        <v>400</v>
      </c>
      <c r="N10" s="42">
        <v>30</v>
      </c>
    </row>
    <row r="11" spans="1:16" ht="18" customHeight="1">
      <c r="A11" s="45" t="s">
        <v>344</v>
      </c>
      <c r="B11" s="48">
        <v>0.77083333333333337</v>
      </c>
      <c r="C11" s="39" t="s">
        <v>161</v>
      </c>
      <c r="D11" s="48" t="s">
        <v>341</v>
      </c>
      <c r="E11" s="46">
        <v>0.7729166666666667</v>
      </c>
      <c r="F11" s="40">
        <v>0.79583333333333328</v>
      </c>
      <c r="G11" s="40"/>
      <c r="H11" s="39"/>
      <c r="I11" s="41"/>
      <c r="J11" s="43"/>
      <c r="K11" s="42"/>
      <c r="L11" s="44">
        <v>400</v>
      </c>
      <c r="M11" s="42">
        <f t="shared" si="3"/>
        <v>400</v>
      </c>
      <c r="N11" s="42">
        <v>30</v>
      </c>
    </row>
    <row r="12" spans="1:16" ht="18" customHeight="1">
      <c r="A12" s="45" t="s">
        <v>345</v>
      </c>
      <c r="B12" s="48">
        <v>0.83333333333333337</v>
      </c>
      <c r="C12" s="39" t="s">
        <v>346</v>
      </c>
      <c r="D12" s="7" t="s">
        <v>347</v>
      </c>
      <c r="E12" s="46">
        <v>0.80902777777777779</v>
      </c>
      <c r="F12" s="40">
        <v>0.83680555555555558</v>
      </c>
      <c r="G12" s="40"/>
      <c r="H12" s="39"/>
      <c r="I12" s="41"/>
      <c r="J12" s="43" t="s">
        <v>40</v>
      </c>
      <c r="K12" s="42">
        <v>35</v>
      </c>
      <c r="L12" s="44">
        <v>400</v>
      </c>
      <c r="M12" s="42">
        <f t="shared" si="3"/>
        <v>435</v>
      </c>
      <c r="N12" s="42">
        <v>30</v>
      </c>
    </row>
    <row r="13" spans="1:16" ht="18" customHeight="1">
      <c r="A13" s="45" t="s">
        <v>348</v>
      </c>
      <c r="B13" s="48">
        <v>0.92361111111111116</v>
      </c>
      <c r="C13" s="39" t="s">
        <v>64</v>
      </c>
      <c r="D13" s="48" t="s">
        <v>337</v>
      </c>
      <c r="E13" s="46">
        <v>0.94444444444444442</v>
      </c>
      <c r="F13" s="40">
        <v>0.96527777777777779</v>
      </c>
      <c r="G13" s="40"/>
      <c r="H13" s="39"/>
      <c r="I13" s="41"/>
      <c r="J13" s="43" t="s">
        <v>40</v>
      </c>
      <c r="K13" s="42">
        <v>35</v>
      </c>
      <c r="L13" s="44">
        <v>400</v>
      </c>
      <c r="M13" s="42">
        <f t="shared" si="3"/>
        <v>435</v>
      </c>
      <c r="N13" s="42">
        <v>30</v>
      </c>
    </row>
    <row r="14" spans="1:16" ht="18" customHeight="1">
      <c r="A14" s="45" t="s">
        <v>348</v>
      </c>
      <c r="B14" s="48">
        <v>0.92361111111111116</v>
      </c>
      <c r="C14" s="39" t="s">
        <v>64</v>
      </c>
      <c r="D14" s="48" t="s">
        <v>330</v>
      </c>
      <c r="E14" s="46">
        <v>0.94444444444444442</v>
      </c>
      <c r="F14" s="40">
        <v>0.96527777777777779</v>
      </c>
      <c r="G14" s="40"/>
      <c r="H14" s="39"/>
      <c r="I14" s="41"/>
      <c r="J14" s="43" t="s">
        <v>40</v>
      </c>
      <c r="K14" s="42">
        <v>35</v>
      </c>
      <c r="L14" s="44">
        <v>400</v>
      </c>
      <c r="M14" s="42">
        <f t="shared" ref="M14" si="4">SUM(K14:L14)</f>
        <v>435</v>
      </c>
      <c r="N14" s="42">
        <v>30</v>
      </c>
    </row>
    <row r="15" spans="1:16" s="111" customFormat="1" ht="18" customHeight="1">
      <c r="A15" s="297" t="s">
        <v>349</v>
      </c>
      <c r="B15" s="138">
        <v>6.25E-2</v>
      </c>
      <c r="C15" s="139" t="s">
        <v>161</v>
      </c>
      <c r="D15" s="166" t="s">
        <v>335</v>
      </c>
      <c r="E15" s="141">
        <v>6.3194444444444442E-2</v>
      </c>
      <c r="F15" s="141">
        <v>8.4722222222222227E-2</v>
      </c>
      <c r="G15" s="141"/>
      <c r="H15" s="140"/>
      <c r="I15" s="142"/>
      <c r="J15" s="93" t="s">
        <v>105</v>
      </c>
      <c r="K15" s="137">
        <v>60</v>
      </c>
      <c r="L15" s="136">
        <v>400</v>
      </c>
      <c r="M15" s="156">
        <f t="shared" si="3"/>
        <v>460</v>
      </c>
      <c r="N15" s="42">
        <v>30</v>
      </c>
    </row>
    <row r="16" spans="1:16">
      <c r="A16" s="1" t="s">
        <v>350</v>
      </c>
      <c r="B16" s="8">
        <v>0.26041666666666669</v>
      </c>
      <c r="C16" s="53" t="s">
        <v>351</v>
      </c>
      <c r="D16" s="36" t="s">
        <v>352</v>
      </c>
      <c r="E16" s="62">
        <v>0.29166666666666669</v>
      </c>
      <c r="F16" s="61">
        <v>0.32013888888888886</v>
      </c>
      <c r="G16" s="61"/>
      <c r="H16" s="53"/>
      <c r="I16" s="55"/>
      <c r="J16" s="56" t="s">
        <v>316</v>
      </c>
      <c r="K16" s="50">
        <v>95</v>
      </c>
      <c r="L16" s="50">
        <v>400</v>
      </c>
      <c r="M16" s="156">
        <f t="shared" si="3"/>
        <v>495</v>
      </c>
      <c r="N16" s="42">
        <v>30</v>
      </c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6">
        <f t="shared" si="3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3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3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3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6">
        <f t="shared" si="3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6">
        <f t="shared" si="3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6">
        <f t="shared" si="3"/>
        <v>0</v>
      </c>
      <c r="N23" s="42"/>
    </row>
    <row r="24" spans="1:14">
      <c r="A24" s="51"/>
      <c r="B24" s="62"/>
      <c r="C24" s="53"/>
      <c r="D24" s="64"/>
      <c r="E24" s="53"/>
      <c r="F24" s="61"/>
      <c r="G24" s="61"/>
      <c r="H24" s="53"/>
      <c r="I24" s="55"/>
      <c r="J24" s="56"/>
      <c r="K24" s="50"/>
      <c r="L24" s="50"/>
      <c r="M24" s="156">
        <f t="shared" si="3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3"/>
        <v>0</v>
      </c>
      <c r="N25" s="42"/>
    </row>
    <row r="26" spans="1:14">
      <c r="A26" s="51"/>
      <c r="B26" s="62"/>
      <c r="C26" s="53"/>
      <c r="D26" s="9"/>
      <c r="E26" s="53"/>
      <c r="F26" s="61"/>
      <c r="G26" s="61"/>
      <c r="H26" s="53"/>
      <c r="I26" s="55"/>
      <c r="J26" s="56"/>
      <c r="K26" s="50"/>
      <c r="L26" s="50"/>
      <c r="M26" s="156">
        <f t="shared" si="3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6">
        <f t="shared" si="3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6">
        <f t="shared" si="3"/>
        <v>0</v>
      </c>
      <c r="N28" s="42"/>
    </row>
    <row r="29" spans="1:14">
      <c r="A29" s="51"/>
      <c r="B29" s="62"/>
      <c r="C29" s="53"/>
      <c r="D29" s="63"/>
      <c r="E29" s="10"/>
      <c r="F29" s="61"/>
      <c r="G29" s="61"/>
      <c r="H29" s="10"/>
      <c r="I29" s="11"/>
      <c r="J29" s="13"/>
      <c r="K29" s="12"/>
      <c r="L29" s="12"/>
      <c r="M29" s="156">
        <f t="shared" si="3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6">
        <f t="shared" si="3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6">
        <f t="shared" si="3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6">
        <f t="shared" si="3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6">
        <f t="shared" si="3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6">
        <f t="shared" si="3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6">
        <f t="shared" si="3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6">
        <f t="shared" si="3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6">
        <f t="shared" si="3"/>
        <v>0</v>
      </c>
      <c r="N37" s="42"/>
    </row>
    <row r="38" spans="1:14">
      <c r="A38" s="14"/>
      <c r="B38" s="15"/>
      <c r="C38" s="53"/>
      <c r="D38" s="64"/>
      <c r="E38" s="53"/>
      <c r="F38" s="62"/>
      <c r="G38" s="62"/>
      <c r="H38" s="53"/>
      <c r="I38" s="55"/>
      <c r="J38" s="56"/>
      <c r="K38" s="50"/>
      <c r="L38" s="50"/>
      <c r="M38" s="156">
        <f t="shared" si="3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6755</v>
      </c>
      <c r="N40" s="26">
        <f>SUM(N2:N39)</f>
        <v>450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5">
    <sortCondition ref="B2:B135"/>
  </sortState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F7A2-97FA-4350-B40C-D163DC8C6C2E}">
  <dimension ref="A1:N134"/>
  <sheetViews>
    <sheetView topLeftCell="C1" zoomScale="49" zoomScaleNormal="49" workbookViewId="0">
      <selection activeCell="A7" sqref="A7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5" width="9" bestFit="1" customWidth="1"/>
    <col min="6" max="7" width="9.5" style="33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1" customFormat="1" ht="17.25" customHeight="1">
      <c r="A2" s="266">
        <v>545934</v>
      </c>
      <c r="B2" s="267">
        <v>0.20833333333333334</v>
      </c>
      <c r="C2" s="200" t="s">
        <v>48</v>
      </c>
      <c r="D2" s="7" t="s">
        <v>257</v>
      </c>
      <c r="E2" s="148" t="s">
        <v>34</v>
      </c>
      <c r="F2" s="217">
        <v>0.19791666666666666</v>
      </c>
      <c r="G2" s="217">
        <v>0.22569444444444445</v>
      </c>
      <c r="H2" s="148"/>
      <c r="I2" s="218"/>
      <c r="J2" s="200" t="s">
        <v>35</v>
      </c>
      <c r="K2" s="42">
        <v>60</v>
      </c>
      <c r="L2" s="44">
        <v>400</v>
      </c>
      <c r="M2" s="42">
        <f t="shared" ref="M2:M38" si="0">SUM(K2:L2)</f>
        <v>460</v>
      </c>
      <c r="N2" s="42">
        <v>30</v>
      </c>
    </row>
    <row r="3" spans="1:14" s="111" customFormat="1" ht="17.25" customHeight="1">
      <c r="A3" s="219" t="s">
        <v>353</v>
      </c>
      <c r="B3" s="268">
        <v>0.66666666666666663</v>
      </c>
      <c r="C3" s="221" t="s">
        <v>48</v>
      </c>
      <c r="D3" s="100" t="s">
        <v>354</v>
      </c>
      <c r="E3" s="231" t="s">
        <v>34</v>
      </c>
      <c r="F3" s="249">
        <v>0.66666666666666663</v>
      </c>
      <c r="G3" s="249">
        <v>0.6875</v>
      </c>
      <c r="H3" s="231"/>
      <c r="I3" s="232"/>
      <c r="J3" s="301"/>
      <c r="K3" s="42"/>
      <c r="L3" s="44">
        <v>400</v>
      </c>
      <c r="M3" s="42">
        <f t="shared" si="0"/>
        <v>400</v>
      </c>
      <c r="N3" s="42">
        <v>30</v>
      </c>
    </row>
    <row r="4" spans="1:14" s="111" customFormat="1" ht="17.25" customHeight="1">
      <c r="A4" s="219" t="s">
        <v>355</v>
      </c>
      <c r="B4" s="268">
        <v>0.79166666666666663</v>
      </c>
      <c r="C4" s="221" t="s">
        <v>156</v>
      </c>
      <c r="D4" s="100" t="s">
        <v>33</v>
      </c>
      <c r="E4" s="231" t="s">
        <v>34</v>
      </c>
      <c r="F4" s="249">
        <v>0.78125</v>
      </c>
      <c r="G4" s="249">
        <v>0.79166666666666663</v>
      </c>
      <c r="H4" s="231"/>
      <c r="I4" s="232"/>
      <c r="J4" s="301" t="s">
        <v>100</v>
      </c>
      <c r="K4" s="42">
        <v>40</v>
      </c>
      <c r="L4" s="44">
        <v>460</v>
      </c>
      <c r="M4" s="42">
        <f t="shared" si="0"/>
        <v>500</v>
      </c>
      <c r="N4" s="42">
        <v>30</v>
      </c>
    </row>
    <row r="5" spans="1:14" s="111" customFormat="1" ht="17.25" customHeight="1">
      <c r="A5" s="90" t="s">
        <v>356</v>
      </c>
      <c r="B5" s="91">
        <v>0.86805555555555558</v>
      </c>
      <c r="C5" s="92" t="s">
        <v>98</v>
      </c>
      <c r="D5" s="186" t="s">
        <v>99</v>
      </c>
      <c r="E5" s="102" t="s">
        <v>34</v>
      </c>
      <c r="F5" s="112">
        <v>0.89027777777777772</v>
      </c>
      <c r="G5" s="112">
        <v>0.91527777777777775</v>
      </c>
      <c r="H5" s="39"/>
      <c r="I5" s="41"/>
      <c r="J5" s="41" t="s">
        <v>357</v>
      </c>
      <c r="K5" s="42">
        <v>40</v>
      </c>
      <c r="L5" s="44">
        <v>460</v>
      </c>
      <c r="M5" s="42">
        <f t="shared" si="0"/>
        <v>500</v>
      </c>
      <c r="N5" s="42">
        <v>30</v>
      </c>
    </row>
    <row r="6" spans="1:14" s="111" customFormat="1" ht="17.25" customHeight="1">
      <c r="A6" s="228" t="s">
        <v>358</v>
      </c>
      <c r="B6" s="229">
        <v>0.89236111111111116</v>
      </c>
      <c r="C6" s="230" t="s">
        <v>359</v>
      </c>
      <c r="D6" s="48" t="s">
        <v>33</v>
      </c>
      <c r="E6" s="125" t="s">
        <v>127</v>
      </c>
      <c r="F6" s="126"/>
      <c r="G6" s="126"/>
      <c r="H6" s="125"/>
      <c r="I6" s="93"/>
      <c r="J6" s="43" t="s">
        <v>360</v>
      </c>
      <c r="K6" s="42"/>
      <c r="L6" s="44"/>
      <c r="M6" s="42">
        <f t="shared" si="0"/>
        <v>0</v>
      </c>
      <c r="N6" s="42"/>
    </row>
    <row r="7" spans="1:14" s="111" customFormat="1" ht="17.25" customHeight="1">
      <c r="A7" s="228"/>
      <c r="B7" s="229"/>
      <c r="C7" s="230"/>
      <c r="D7" s="48"/>
      <c r="E7" s="125"/>
      <c r="F7" s="126"/>
      <c r="G7" s="126"/>
      <c r="H7" s="125"/>
      <c r="I7" s="93"/>
      <c r="J7" s="43"/>
      <c r="K7" s="42"/>
      <c r="L7" s="44"/>
      <c r="M7" s="42">
        <f t="shared" si="0"/>
        <v>0</v>
      </c>
      <c r="N7" s="42"/>
    </row>
    <row r="8" spans="1:14" s="111" customFormat="1" ht="17.25" customHeight="1">
      <c r="A8" s="228"/>
      <c r="B8" s="229"/>
      <c r="C8" s="139"/>
      <c r="D8" s="125"/>
      <c r="E8" s="125"/>
      <c r="F8" s="126"/>
      <c r="G8" s="126"/>
      <c r="H8" s="125"/>
      <c r="I8" s="93"/>
      <c r="J8" s="41"/>
      <c r="K8" s="42"/>
      <c r="L8" s="44"/>
      <c r="M8" s="42">
        <f t="shared" si="0"/>
        <v>0</v>
      </c>
      <c r="N8" s="42"/>
    </row>
    <row r="9" spans="1:14" s="111" customFormat="1" ht="17.25" customHeight="1">
      <c r="A9" s="90"/>
      <c r="B9" s="48"/>
      <c r="C9" s="100"/>
      <c r="D9" s="269"/>
      <c r="E9" s="39"/>
      <c r="F9" s="40"/>
      <c r="G9" s="40"/>
      <c r="H9" s="39"/>
      <c r="I9" s="41"/>
      <c r="J9" s="43"/>
      <c r="K9" s="42"/>
      <c r="L9" s="44"/>
      <c r="M9" s="42">
        <f t="shared" si="0"/>
        <v>0</v>
      </c>
      <c r="N9" s="42"/>
    </row>
    <row r="10" spans="1:14" s="111" customFormat="1" ht="17.25" customHeight="1">
      <c r="A10" s="90"/>
      <c r="B10" s="48"/>
      <c r="C10" s="100"/>
      <c r="D10" s="95"/>
      <c r="E10" s="39"/>
      <c r="F10" s="40"/>
      <c r="G10" s="40"/>
      <c r="H10" s="39"/>
      <c r="I10" s="41"/>
      <c r="J10" s="43"/>
      <c r="K10" s="42"/>
      <c r="L10" s="44"/>
      <c r="M10" s="42">
        <f t="shared" si="0"/>
        <v>0</v>
      </c>
      <c r="N10" s="42"/>
    </row>
    <row r="11" spans="1:14" ht="17.25" customHeight="1">
      <c r="A11" s="144"/>
      <c r="B11" s="129"/>
      <c r="C11" s="92"/>
      <c r="D11" s="92"/>
      <c r="E11" s="92"/>
      <c r="F11" s="112"/>
      <c r="G11" s="112"/>
      <c r="H11" s="92"/>
      <c r="I11" s="113"/>
      <c r="J11" s="43"/>
      <c r="K11" s="42"/>
      <c r="L11" s="44"/>
      <c r="M11" s="42">
        <f t="shared" si="0"/>
        <v>0</v>
      </c>
      <c r="N11" s="42"/>
    </row>
    <row r="12" spans="1:14" ht="17.25" customHeight="1">
      <c r="A12" s="144"/>
      <c r="B12" s="129"/>
      <c r="C12" s="92"/>
      <c r="D12" s="157"/>
      <c r="E12" s="157"/>
      <c r="F12" s="112"/>
      <c r="G12" s="112"/>
      <c r="H12" s="157"/>
      <c r="I12" s="178"/>
      <c r="J12" s="43"/>
      <c r="K12" s="42"/>
      <c r="L12" s="44"/>
      <c r="M12" s="42">
        <f t="shared" si="0"/>
        <v>0</v>
      </c>
      <c r="N12" s="42"/>
    </row>
    <row r="13" spans="1:14" ht="17.25" customHeight="1">
      <c r="A13" s="90"/>
      <c r="B13" s="48"/>
      <c r="C13" s="92"/>
      <c r="D13" s="94"/>
      <c r="E13" s="39"/>
      <c r="F13" s="40"/>
      <c r="G13" s="40"/>
      <c r="H13" s="49"/>
      <c r="I13" s="41"/>
      <c r="J13" s="43"/>
      <c r="K13" s="42"/>
      <c r="L13" s="44"/>
      <c r="M13" s="42">
        <f t="shared" si="0"/>
        <v>0</v>
      </c>
      <c r="N13" s="42"/>
    </row>
    <row r="14" spans="1:14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42">
        <f t="shared" si="0"/>
        <v>0</v>
      </c>
      <c r="N14" s="42"/>
    </row>
    <row r="15" spans="1:14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6">
        <f t="shared" si="0"/>
        <v>0</v>
      </c>
      <c r="N15" s="42"/>
    </row>
    <row r="16" spans="1:14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6">
        <f t="shared" si="0"/>
        <v>0</v>
      </c>
      <c r="N16" s="42"/>
    </row>
    <row r="17" spans="1:14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6">
        <f t="shared" si="0"/>
        <v>0</v>
      </c>
      <c r="N17" s="42"/>
    </row>
    <row r="18" spans="1:14" s="6" customForma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47"/>
      <c r="B25" s="48"/>
      <c r="C25" s="39"/>
      <c r="D25" s="60"/>
      <c r="E25" s="39"/>
      <c r="F25" s="65"/>
      <c r="G25" s="65"/>
      <c r="H25" s="39"/>
      <c r="I25" s="41"/>
      <c r="J25" s="43"/>
      <c r="K25" s="42"/>
      <c r="L25" s="44"/>
      <c r="M25" s="156">
        <f t="shared" si="0"/>
        <v>0</v>
      </c>
      <c r="N25" s="42"/>
    </row>
    <row r="26" spans="1:14">
      <c r="A26" s="45"/>
      <c r="B26" s="46"/>
      <c r="C26" s="39"/>
      <c r="D26" s="7"/>
      <c r="E26" s="39"/>
      <c r="F26" s="65"/>
      <c r="G26" s="65"/>
      <c r="H26" s="39"/>
      <c r="I26" s="41"/>
      <c r="J26" s="43"/>
      <c r="K26" s="42"/>
      <c r="L26" s="42"/>
      <c r="M26" s="156">
        <f t="shared" si="0"/>
        <v>0</v>
      </c>
      <c r="N26" s="42"/>
    </row>
    <row r="27" spans="1:14">
      <c r="A27" s="1"/>
      <c r="B27" s="8"/>
      <c r="C27" s="53"/>
      <c r="D27" s="36"/>
      <c r="E27" s="53"/>
      <c r="F27" s="66"/>
      <c r="G27" s="66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6"/>
      <c r="G28" s="66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6"/>
      <c r="G29" s="66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6"/>
      <c r="G30" s="66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6"/>
      <c r="G31" s="66"/>
      <c r="H31" s="53"/>
      <c r="I31" s="55"/>
      <c r="J31" s="56"/>
      <c r="K31" s="50"/>
      <c r="L31" s="50"/>
      <c r="M31" s="156">
        <f t="shared" si="0"/>
        <v>0</v>
      </c>
      <c r="N31" s="42"/>
    </row>
    <row r="32" spans="1:14">
      <c r="A32" s="51"/>
      <c r="B32" s="62"/>
      <c r="C32" s="53"/>
      <c r="D32" s="63"/>
      <c r="E32" s="53"/>
      <c r="F32" s="66"/>
      <c r="G32" s="66"/>
      <c r="H32" s="53"/>
      <c r="I32" s="55"/>
      <c r="J32" s="56"/>
      <c r="K32" s="50"/>
      <c r="L32" s="50"/>
      <c r="M32" s="156">
        <f t="shared" si="0"/>
        <v>0</v>
      </c>
      <c r="N32" s="42"/>
    </row>
    <row r="33" spans="1:14">
      <c r="A33" s="51"/>
      <c r="B33" s="62"/>
      <c r="C33" s="53"/>
      <c r="D33" s="53"/>
      <c r="E33" s="53"/>
      <c r="F33" s="66"/>
      <c r="G33" s="66"/>
      <c r="H33" s="53"/>
      <c r="I33" s="55"/>
      <c r="J33" s="56"/>
      <c r="K33" s="50"/>
      <c r="L33" s="50"/>
      <c r="M33" s="156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6"/>
      <c r="G34" s="66"/>
      <c r="H34" s="53"/>
      <c r="I34" s="55"/>
      <c r="J34" s="56"/>
      <c r="K34" s="50"/>
      <c r="L34" s="50"/>
      <c r="M34" s="156">
        <f t="shared" si="0"/>
        <v>0</v>
      </c>
      <c r="N34" s="42"/>
    </row>
    <row r="35" spans="1:14">
      <c r="A35" s="51"/>
      <c r="B35" s="62"/>
      <c r="C35" s="53"/>
      <c r="D35" s="64"/>
      <c r="E35" s="53"/>
      <c r="F35" s="66"/>
      <c r="G35" s="66"/>
      <c r="H35" s="53"/>
      <c r="I35" s="55"/>
      <c r="J35" s="56"/>
      <c r="K35" s="50"/>
      <c r="L35" s="50"/>
      <c r="M35" s="156">
        <f t="shared" si="0"/>
        <v>0</v>
      </c>
      <c r="N35" s="42"/>
    </row>
    <row r="36" spans="1:14">
      <c r="A36" s="51"/>
      <c r="B36" s="62"/>
      <c r="C36" s="53"/>
      <c r="D36" s="36"/>
      <c r="E36" s="53"/>
      <c r="F36" s="66"/>
      <c r="G36" s="66"/>
      <c r="H36" s="53"/>
      <c r="I36" s="55"/>
      <c r="J36" s="56"/>
      <c r="K36" s="50"/>
      <c r="L36" s="50"/>
      <c r="M36" s="156">
        <f t="shared" si="0"/>
        <v>0</v>
      </c>
      <c r="N36" s="42"/>
    </row>
    <row r="37" spans="1:14">
      <c r="A37" s="51"/>
      <c r="B37" s="62"/>
      <c r="C37" s="53"/>
      <c r="D37" s="9"/>
      <c r="E37" s="53"/>
      <c r="F37" s="66"/>
      <c r="G37" s="66"/>
      <c r="H37" s="53"/>
      <c r="I37" s="55"/>
      <c r="J37" s="56"/>
      <c r="K37" s="50"/>
      <c r="L37" s="50"/>
      <c r="M37" s="156">
        <f t="shared" si="0"/>
        <v>0</v>
      </c>
      <c r="N37" s="42"/>
    </row>
    <row r="38" spans="1:14">
      <c r="A38" s="51"/>
      <c r="B38" s="62"/>
      <c r="C38" s="53"/>
      <c r="D38" s="36"/>
      <c r="E38" s="53"/>
      <c r="F38" s="66"/>
      <c r="G38" s="66"/>
      <c r="H38" s="53"/>
      <c r="I38" s="55"/>
      <c r="J38" s="56"/>
      <c r="K38" s="50"/>
      <c r="L38" s="50"/>
      <c r="M38" s="156">
        <f t="shared" si="0"/>
        <v>0</v>
      </c>
      <c r="N38" s="42"/>
    </row>
    <row r="39" spans="1:14">
      <c r="A39" s="104"/>
      <c r="B39" s="105"/>
      <c r="C39" s="101"/>
      <c r="D39" s="106"/>
      <c r="E39" s="101"/>
      <c r="F39" s="107"/>
      <c r="G39" s="107"/>
      <c r="H39" s="101"/>
      <c r="I39" s="108"/>
      <c r="J39" s="110"/>
      <c r="K39" s="74"/>
      <c r="L39" s="74"/>
      <c r="M39" s="109"/>
      <c r="N39" s="42"/>
    </row>
    <row r="40" spans="1:14">
      <c r="A40" s="20"/>
      <c r="B40" s="21"/>
      <c r="C40" s="22"/>
      <c r="D40" s="21"/>
      <c r="E40" s="21"/>
      <c r="F40" s="32"/>
      <c r="G40" s="32"/>
      <c r="H40" s="21"/>
      <c r="J40" s="25"/>
      <c r="K40" s="24"/>
      <c r="L40" s="24"/>
      <c r="M40" s="26">
        <f>SUM(M2:M39)</f>
        <v>1860</v>
      </c>
      <c r="N40" s="26">
        <f>SUM(N2:N39)</f>
        <v>120</v>
      </c>
    </row>
    <row r="41" spans="1:14">
      <c r="A41" s="20"/>
      <c r="B41" s="21"/>
      <c r="C41" s="22"/>
      <c r="D41" s="21"/>
      <c r="E41" s="21"/>
      <c r="F41" s="32"/>
      <c r="G41" s="32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32"/>
      <c r="G42" s="32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FA1E-91C1-4448-94BD-2980D5F45CDA}">
  <dimension ref="A1:P134"/>
  <sheetViews>
    <sheetView topLeftCell="C1" workbookViewId="0">
      <selection activeCell="D10" sqref="D10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67" t="s">
        <v>17</v>
      </c>
      <c r="B1" s="68" t="s">
        <v>361</v>
      </c>
      <c r="C1" s="68" t="s">
        <v>54</v>
      </c>
      <c r="D1" s="69" t="s">
        <v>20</v>
      </c>
      <c r="E1" s="89" t="s">
        <v>21</v>
      </c>
      <c r="F1" s="89" t="s">
        <v>22</v>
      </c>
      <c r="G1" s="89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43" customFormat="1" ht="17.25" customHeight="1">
      <c r="A2" s="90" t="s">
        <v>362</v>
      </c>
      <c r="B2" s="91">
        <v>0.20833333333333334</v>
      </c>
      <c r="C2" s="39" t="s">
        <v>104</v>
      </c>
      <c r="D2" s="301" t="s">
        <v>363</v>
      </c>
      <c r="E2" s="7" t="s">
        <v>34</v>
      </c>
      <c r="F2" s="249">
        <v>0.20833333333333334</v>
      </c>
      <c r="G2" s="249">
        <v>0.22569444444444445</v>
      </c>
      <c r="H2" s="231"/>
      <c r="I2" s="232"/>
      <c r="J2" s="301" t="s">
        <v>105</v>
      </c>
      <c r="K2" s="42">
        <v>60</v>
      </c>
      <c r="L2" s="44">
        <v>400</v>
      </c>
      <c r="M2" s="42">
        <f t="shared" ref="M2:M39" si="0">SUM(K2:L2)</f>
        <v>460</v>
      </c>
      <c r="N2" s="42">
        <v>30</v>
      </c>
      <c r="O2" s="111"/>
      <c r="P2" s="111"/>
    </row>
    <row r="3" spans="1:16" s="111" customFormat="1" ht="17.25" customHeight="1">
      <c r="A3" s="297" t="s">
        <v>364</v>
      </c>
      <c r="B3" s="138">
        <v>0.27083333333333331</v>
      </c>
      <c r="C3" s="139" t="s">
        <v>104</v>
      </c>
      <c r="D3" s="125" t="s">
        <v>365</v>
      </c>
      <c r="E3" s="125" t="s">
        <v>34</v>
      </c>
      <c r="F3" s="126">
        <v>0.27083333333333331</v>
      </c>
      <c r="G3" s="126">
        <v>0.29166666666666669</v>
      </c>
      <c r="H3" s="275"/>
      <c r="I3" s="142"/>
      <c r="J3" s="43" t="s">
        <v>105</v>
      </c>
      <c r="K3" s="42">
        <v>60</v>
      </c>
      <c r="L3" s="44">
        <v>400</v>
      </c>
      <c r="M3" s="42">
        <f t="shared" si="0"/>
        <v>460</v>
      </c>
      <c r="N3" s="42">
        <v>30</v>
      </c>
      <c r="O3" s="149"/>
      <c r="P3" s="149"/>
    </row>
    <row r="4" spans="1:16" s="111" customFormat="1" ht="17.25" customHeight="1">
      <c r="A4" s="297" t="s">
        <v>364</v>
      </c>
      <c r="B4" s="138">
        <v>0.27083333333333331</v>
      </c>
      <c r="C4" s="139" t="s">
        <v>104</v>
      </c>
      <c r="D4" s="125" t="s">
        <v>366</v>
      </c>
      <c r="E4" s="125" t="s">
        <v>34</v>
      </c>
      <c r="F4" s="126">
        <v>0.27083333333333331</v>
      </c>
      <c r="G4" s="126">
        <v>0.29166666666666669</v>
      </c>
      <c r="H4" s="275"/>
      <c r="I4" s="142"/>
      <c r="J4" s="43" t="s">
        <v>105</v>
      </c>
      <c r="K4" s="42">
        <v>60</v>
      </c>
      <c r="L4" s="44">
        <v>400</v>
      </c>
      <c r="M4" s="42">
        <f t="shared" ref="M4" si="1">SUM(K4:L4)</f>
        <v>460</v>
      </c>
      <c r="N4" s="42">
        <v>30</v>
      </c>
      <c r="O4" s="149"/>
      <c r="P4" s="149"/>
    </row>
    <row r="5" spans="1:16" s="111" customFormat="1" ht="17.25" customHeight="1">
      <c r="A5" s="297" t="s">
        <v>367</v>
      </c>
      <c r="B5" s="138">
        <v>0.25</v>
      </c>
      <c r="C5" s="139" t="s">
        <v>368</v>
      </c>
      <c r="D5" s="274" t="s">
        <v>369</v>
      </c>
      <c r="E5" s="39" t="s">
        <v>34</v>
      </c>
      <c r="F5" s="40">
        <v>0.27777777777777779</v>
      </c>
      <c r="G5" s="40">
        <v>0.2986111111111111</v>
      </c>
      <c r="H5" s="180"/>
      <c r="I5" s="113"/>
      <c r="J5" s="41" t="s">
        <v>370</v>
      </c>
      <c r="K5" s="42">
        <v>95</v>
      </c>
      <c r="L5" s="44">
        <v>400</v>
      </c>
      <c r="M5" s="42">
        <f t="shared" si="0"/>
        <v>495</v>
      </c>
      <c r="N5" s="42">
        <v>30</v>
      </c>
      <c r="O5" s="149"/>
      <c r="P5" s="149"/>
    </row>
    <row r="6" spans="1:16" s="111" customFormat="1" ht="17.25" customHeight="1">
      <c r="A6" s="297" t="s">
        <v>367</v>
      </c>
      <c r="B6" s="138">
        <v>0.25</v>
      </c>
      <c r="C6" s="139" t="s">
        <v>368</v>
      </c>
      <c r="D6" s="274" t="s">
        <v>33</v>
      </c>
      <c r="E6" s="39" t="s">
        <v>34</v>
      </c>
      <c r="F6" s="40">
        <v>0.27777777777777779</v>
      </c>
      <c r="G6" s="40">
        <v>0.2986111111111111</v>
      </c>
      <c r="H6" s="180"/>
      <c r="I6" s="113"/>
      <c r="J6" s="41" t="s">
        <v>370</v>
      </c>
      <c r="K6" s="42">
        <v>95</v>
      </c>
      <c r="L6" s="44">
        <v>400</v>
      </c>
      <c r="M6" s="42">
        <f t="shared" ref="M6" si="2">SUM(K6:L6)</f>
        <v>495</v>
      </c>
      <c r="N6" s="42">
        <v>30</v>
      </c>
      <c r="O6" s="149"/>
      <c r="P6" s="149"/>
    </row>
    <row r="7" spans="1:16" s="111" customFormat="1" ht="17.25" customHeight="1">
      <c r="A7" s="90" t="s">
        <v>371</v>
      </c>
      <c r="B7" s="91">
        <v>0.29166666666666669</v>
      </c>
      <c r="C7" s="39" t="s">
        <v>104</v>
      </c>
      <c r="D7" s="7" t="s">
        <v>372</v>
      </c>
      <c r="E7" s="39" t="s">
        <v>34</v>
      </c>
      <c r="F7" s="40">
        <v>0.29166666666666669</v>
      </c>
      <c r="G7" s="40">
        <v>0.3125</v>
      </c>
      <c r="H7" s="39"/>
      <c r="I7" s="41"/>
      <c r="J7" s="289"/>
      <c r="K7" s="193"/>
      <c r="L7" s="194">
        <v>400</v>
      </c>
      <c r="M7" s="156">
        <f t="shared" si="0"/>
        <v>400</v>
      </c>
      <c r="N7" s="42">
        <v>30</v>
      </c>
      <c r="O7" s="149"/>
      <c r="P7" s="149"/>
    </row>
    <row r="8" spans="1:16" s="111" customFormat="1" ht="17.25" customHeight="1">
      <c r="A8" s="100">
        <v>546731</v>
      </c>
      <c r="B8" s="99">
        <v>0.37152777777777779</v>
      </c>
      <c r="C8" s="92" t="s">
        <v>48</v>
      </c>
      <c r="D8" s="300" t="s">
        <v>151</v>
      </c>
      <c r="E8" s="39" t="s">
        <v>34</v>
      </c>
      <c r="F8" s="40">
        <v>0.37152777777777779</v>
      </c>
      <c r="G8" s="40">
        <v>0.3923611111111111</v>
      </c>
      <c r="H8" s="49"/>
      <c r="I8" s="41"/>
      <c r="J8" s="41"/>
      <c r="K8" s="42"/>
      <c r="L8" s="44">
        <v>400</v>
      </c>
      <c r="M8" s="42">
        <f t="shared" si="0"/>
        <v>400</v>
      </c>
      <c r="N8" s="42">
        <v>30</v>
      </c>
      <c r="O8" s="149"/>
      <c r="P8" s="149"/>
    </row>
    <row r="9" spans="1:16" s="111" customFormat="1" ht="17.25" customHeight="1">
      <c r="A9" s="100">
        <v>546731</v>
      </c>
      <c r="B9" s="99">
        <v>0.37152777777777779</v>
      </c>
      <c r="C9" s="92" t="s">
        <v>48</v>
      </c>
      <c r="D9" s="300" t="s">
        <v>373</v>
      </c>
      <c r="E9" s="39" t="s">
        <v>34</v>
      </c>
      <c r="F9" s="40">
        <v>0.37152777777777779</v>
      </c>
      <c r="G9" s="40">
        <v>0.3923611111111111</v>
      </c>
      <c r="H9" s="49"/>
      <c r="I9" s="41"/>
      <c r="J9" s="41"/>
      <c r="K9" s="42"/>
      <c r="L9" s="44">
        <v>400</v>
      </c>
      <c r="M9" s="42">
        <f t="shared" ref="M9" si="3">SUM(K9:L9)</f>
        <v>400</v>
      </c>
      <c r="N9" s="42">
        <v>30</v>
      </c>
      <c r="O9" s="149"/>
      <c r="P9" s="149"/>
    </row>
    <row r="10" spans="1:16" s="111" customFormat="1" ht="17.25" customHeight="1">
      <c r="A10" s="90" t="s">
        <v>374</v>
      </c>
      <c r="B10" s="48">
        <v>0.35069444444444442</v>
      </c>
      <c r="C10" s="92" t="s">
        <v>96</v>
      </c>
      <c r="D10" s="7" t="s">
        <v>33</v>
      </c>
      <c r="E10" s="102" t="s">
        <v>34</v>
      </c>
      <c r="F10" s="40">
        <v>0.38541666666666669</v>
      </c>
      <c r="G10" s="40">
        <v>0.40625</v>
      </c>
      <c r="H10" s="49"/>
      <c r="I10" s="41"/>
      <c r="J10" s="41" t="s">
        <v>40</v>
      </c>
      <c r="K10" s="42">
        <v>35</v>
      </c>
      <c r="L10" s="44">
        <v>400</v>
      </c>
      <c r="M10" s="42">
        <f t="shared" si="0"/>
        <v>435</v>
      </c>
      <c r="N10" s="42">
        <v>30</v>
      </c>
      <c r="O10" s="149"/>
      <c r="P10" s="149"/>
    </row>
    <row r="11" spans="1:16" s="6" customFormat="1" ht="17.25" customHeight="1">
      <c r="A11" s="90" t="s">
        <v>375</v>
      </c>
      <c r="B11" s="48">
        <v>0.5625</v>
      </c>
      <c r="C11" s="92" t="s">
        <v>48</v>
      </c>
      <c r="D11" s="7" t="s">
        <v>151</v>
      </c>
      <c r="E11" s="102" t="s">
        <v>34</v>
      </c>
      <c r="F11" s="40">
        <v>0.5625</v>
      </c>
      <c r="G11" s="40">
        <v>0.57986111111111116</v>
      </c>
      <c r="H11" s="49"/>
      <c r="I11" s="41"/>
      <c r="J11" s="43"/>
      <c r="K11" s="42"/>
      <c r="L11" s="44">
        <v>400</v>
      </c>
      <c r="M11" s="42">
        <f t="shared" si="0"/>
        <v>400</v>
      </c>
      <c r="N11" s="42">
        <v>30</v>
      </c>
      <c r="O11" s="150"/>
      <c r="P11" s="150"/>
    </row>
    <row r="12" spans="1:16" s="6" customFormat="1" ht="17.25" customHeight="1">
      <c r="A12" s="90" t="s">
        <v>375</v>
      </c>
      <c r="B12" s="48">
        <v>0.5625</v>
      </c>
      <c r="C12" s="92" t="s">
        <v>48</v>
      </c>
      <c r="D12" s="7" t="s">
        <v>376</v>
      </c>
      <c r="E12" s="102" t="s">
        <v>34</v>
      </c>
      <c r="F12" s="40">
        <v>0.5625</v>
      </c>
      <c r="G12" s="40">
        <v>0.57986111111111116</v>
      </c>
      <c r="H12" s="49"/>
      <c r="I12" s="41"/>
      <c r="J12" s="43"/>
      <c r="K12" s="42"/>
      <c r="L12" s="44">
        <v>400</v>
      </c>
      <c r="M12" s="42">
        <f t="shared" ref="M12" si="4">SUM(K12:L12)</f>
        <v>400</v>
      </c>
      <c r="N12" s="42">
        <v>30</v>
      </c>
      <c r="O12" s="150"/>
      <c r="P12" s="150"/>
    </row>
    <row r="13" spans="1:16" s="6" customFormat="1" ht="15.75" customHeight="1">
      <c r="A13" s="1" t="s">
        <v>377</v>
      </c>
      <c r="B13" s="52">
        <v>0.57291666666666663</v>
      </c>
      <c r="C13" s="92" t="s">
        <v>64</v>
      </c>
      <c r="D13" s="19" t="s">
        <v>341</v>
      </c>
      <c r="E13" s="86" t="s">
        <v>34</v>
      </c>
      <c r="F13" s="54">
        <v>0.60416666666666663</v>
      </c>
      <c r="G13" s="54">
        <v>15</v>
      </c>
      <c r="H13" s="53"/>
      <c r="I13" s="55"/>
      <c r="J13" s="56" t="s">
        <v>40</v>
      </c>
      <c r="K13" s="50">
        <v>35</v>
      </c>
      <c r="L13" s="57">
        <v>400</v>
      </c>
      <c r="M13" s="156">
        <f t="shared" si="0"/>
        <v>435</v>
      </c>
      <c r="N13" s="42">
        <v>30</v>
      </c>
      <c r="O13" s="150"/>
      <c r="P13" s="150"/>
    </row>
    <row r="14" spans="1:16" s="6" customFormat="1" ht="15.75" customHeight="1">
      <c r="A14" s="1" t="s">
        <v>377</v>
      </c>
      <c r="B14" s="52">
        <v>0.57291666666666663</v>
      </c>
      <c r="C14" s="92" t="s">
        <v>64</v>
      </c>
      <c r="D14" s="19" t="s">
        <v>151</v>
      </c>
      <c r="E14" s="86" t="s">
        <v>34</v>
      </c>
      <c r="F14" s="54">
        <v>0.60416666666666663</v>
      </c>
      <c r="G14" s="54">
        <v>15</v>
      </c>
      <c r="H14" s="53"/>
      <c r="I14" s="55"/>
      <c r="J14" s="56" t="s">
        <v>40</v>
      </c>
      <c r="K14" s="50">
        <v>35</v>
      </c>
      <c r="L14" s="57">
        <v>400</v>
      </c>
      <c r="M14" s="156">
        <f t="shared" ref="M14" si="5">SUM(K14:L14)</f>
        <v>435</v>
      </c>
      <c r="N14" s="42">
        <v>30</v>
      </c>
      <c r="O14" s="150"/>
      <c r="P14" s="150"/>
    </row>
    <row r="15" spans="1:16" s="6" customFormat="1" ht="15.75" customHeight="1">
      <c r="A15" s="1" t="s">
        <v>378</v>
      </c>
      <c r="B15" s="52">
        <v>0.68055555555555558</v>
      </c>
      <c r="C15" s="53" t="s">
        <v>379</v>
      </c>
      <c r="D15" s="73" t="s">
        <v>33</v>
      </c>
      <c r="E15" s="53" t="s">
        <v>34</v>
      </c>
      <c r="F15" s="54">
        <v>0.71527777777777779</v>
      </c>
      <c r="G15" s="54">
        <v>0.73611111111111116</v>
      </c>
      <c r="H15" s="53"/>
      <c r="I15" s="55"/>
      <c r="J15" s="56" t="s">
        <v>380</v>
      </c>
      <c r="K15" s="50">
        <v>80</v>
      </c>
      <c r="L15" s="57">
        <v>400</v>
      </c>
      <c r="M15" s="156">
        <f t="shared" si="0"/>
        <v>480</v>
      </c>
      <c r="N15" s="42">
        <v>30</v>
      </c>
      <c r="O15" s="150"/>
      <c r="P15" s="150"/>
    </row>
    <row r="16" spans="1:16" s="6" customFormat="1" ht="15.75" customHeight="1">
      <c r="A16" s="51"/>
      <c r="B16" s="52"/>
      <c r="C16" s="53"/>
      <c r="D16" s="19"/>
      <c r="E16" s="53"/>
      <c r="F16" s="54"/>
      <c r="G16" s="54"/>
      <c r="H16" s="58"/>
      <c r="I16" s="55"/>
      <c r="J16" s="56"/>
      <c r="K16" s="50"/>
      <c r="L16" s="57"/>
      <c r="M16" s="156">
        <f t="shared" si="0"/>
        <v>0</v>
      </c>
      <c r="N16" s="42"/>
      <c r="O16" s="150"/>
      <c r="P16" s="150"/>
    </row>
    <row r="17" spans="1:16" ht="15.75" customHeight="1">
      <c r="A17" s="59"/>
      <c r="B17" s="52"/>
      <c r="C17" s="53"/>
      <c r="D17" s="19"/>
      <c r="E17" s="53"/>
      <c r="F17" s="54"/>
      <c r="G17" s="54"/>
      <c r="H17" s="53"/>
      <c r="I17" s="55"/>
      <c r="J17" s="56"/>
      <c r="K17" s="50"/>
      <c r="L17" s="57"/>
      <c r="M17" s="156">
        <f t="shared" si="0"/>
        <v>0</v>
      </c>
      <c r="N17" s="42"/>
      <c r="O17" s="152"/>
      <c r="P17" s="152"/>
    </row>
    <row r="18" spans="1:16" ht="15.75" customHeight="1">
      <c r="A18" s="45"/>
      <c r="B18" s="48"/>
      <c r="C18" s="39"/>
      <c r="D18" s="7"/>
      <c r="E18" s="39"/>
      <c r="F18" s="40"/>
      <c r="G18" s="40"/>
      <c r="H18" s="39"/>
      <c r="I18" s="41"/>
      <c r="J18" s="43"/>
      <c r="K18" s="42"/>
      <c r="L18" s="44"/>
      <c r="M18" s="156">
        <f t="shared" si="0"/>
        <v>0</v>
      </c>
      <c r="N18" s="42"/>
      <c r="O18" s="152"/>
      <c r="P18" s="152"/>
    </row>
    <row r="19" spans="1:16" ht="15.75" customHeight="1">
      <c r="A19" s="45"/>
      <c r="B19" s="46"/>
      <c r="C19" s="39"/>
      <c r="D19" s="60"/>
      <c r="E19" s="39"/>
      <c r="F19" s="40"/>
      <c r="G19" s="40"/>
      <c r="H19" s="39"/>
      <c r="I19" s="41"/>
      <c r="J19" s="43"/>
      <c r="K19" s="42"/>
      <c r="L19" s="44"/>
      <c r="M19" s="156">
        <f t="shared" si="0"/>
        <v>0</v>
      </c>
      <c r="N19" s="42"/>
      <c r="O19" s="152"/>
      <c r="P19" s="152"/>
    </row>
    <row r="20" spans="1:16" ht="15.75" customHeight="1">
      <c r="A20" s="47"/>
      <c r="B20" s="48"/>
      <c r="C20" s="39"/>
      <c r="D20" s="60"/>
      <c r="E20" s="39"/>
      <c r="F20" s="40"/>
      <c r="G20" s="40"/>
      <c r="H20" s="39"/>
      <c r="I20" s="41"/>
      <c r="J20" s="43"/>
      <c r="K20" s="42"/>
      <c r="L20" s="44"/>
      <c r="M20" s="156">
        <f t="shared" si="0"/>
        <v>0</v>
      </c>
      <c r="N20" s="42"/>
      <c r="O20" s="152"/>
      <c r="P20" s="152"/>
    </row>
    <row r="21" spans="1:16" ht="15.75" customHeight="1">
      <c r="A21" s="45"/>
      <c r="B21" s="46"/>
      <c r="C21" s="39"/>
      <c r="D21" s="7"/>
      <c r="E21" s="39"/>
      <c r="F21" s="40"/>
      <c r="G21" s="40"/>
      <c r="H21" s="39"/>
      <c r="I21" s="41"/>
      <c r="J21" s="43"/>
      <c r="K21" s="42"/>
      <c r="L21" s="42"/>
      <c r="M21" s="156">
        <f t="shared" si="0"/>
        <v>0</v>
      </c>
      <c r="N21" s="42"/>
      <c r="O21" s="152"/>
      <c r="P21" s="152"/>
    </row>
    <row r="22" spans="1:16" ht="15.75" customHeight="1">
      <c r="A22" s="1"/>
      <c r="B22" s="8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  <c r="O22" s="152"/>
      <c r="P22" s="152"/>
    </row>
    <row r="23" spans="1:16" ht="15.75" customHeight="1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  <c r="O23" s="152"/>
      <c r="P23" s="152"/>
    </row>
    <row r="24" spans="1:16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  <c r="O24" s="152"/>
      <c r="P24" s="152"/>
    </row>
    <row r="25" spans="1:16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  <c r="O25" s="152"/>
      <c r="P25" s="152"/>
    </row>
    <row r="26" spans="1:16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  <c r="O26" s="152"/>
      <c r="P26" s="152"/>
    </row>
    <row r="27" spans="1:16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  <c r="O27" s="152"/>
      <c r="P27" s="152"/>
    </row>
    <row r="28" spans="1:16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  <c r="O28" s="152"/>
      <c r="P28" s="152"/>
    </row>
    <row r="29" spans="1:16">
      <c r="A29" s="51"/>
      <c r="B29" s="62"/>
      <c r="C29" s="53"/>
      <c r="D29" s="64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  <c r="O29" s="152"/>
      <c r="P29" s="152"/>
    </row>
    <row r="30" spans="1:16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  <c r="O30" s="152"/>
      <c r="P30" s="152"/>
    </row>
    <row r="31" spans="1:16">
      <c r="A31" s="51"/>
      <c r="B31" s="62"/>
      <c r="C31" s="53"/>
      <c r="D31" s="146"/>
      <c r="E31" s="53"/>
      <c r="F31" s="61"/>
      <c r="G31" s="61"/>
      <c r="H31" s="53"/>
      <c r="I31" s="55"/>
      <c r="J31" s="56"/>
      <c r="K31" s="50"/>
      <c r="L31" s="50"/>
      <c r="M31" s="156">
        <f t="shared" si="0"/>
        <v>0</v>
      </c>
      <c r="N31" s="42"/>
      <c r="O31" s="152"/>
      <c r="P31" s="152"/>
    </row>
    <row r="32" spans="1:16">
      <c r="A32" s="51"/>
      <c r="B32" s="62"/>
      <c r="C32" s="53"/>
      <c r="D32" s="36"/>
      <c r="E32" s="53"/>
      <c r="F32" s="61"/>
      <c r="G32" s="61"/>
      <c r="H32" s="53"/>
      <c r="I32" s="55"/>
      <c r="J32" s="56"/>
      <c r="K32" s="50"/>
      <c r="L32" s="50"/>
      <c r="M32" s="156">
        <f t="shared" si="0"/>
        <v>0</v>
      </c>
      <c r="N32" s="42"/>
      <c r="O32" s="152"/>
      <c r="P32" s="152"/>
    </row>
    <row r="33" spans="1:16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6">
        <f t="shared" si="0"/>
        <v>0</v>
      </c>
      <c r="N33" s="42"/>
      <c r="O33" s="152"/>
      <c r="P33" s="152"/>
    </row>
    <row r="34" spans="1:16">
      <c r="A34" s="51"/>
      <c r="B34" s="62"/>
      <c r="C34" s="53"/>
      <c r="D34" s="63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  <c r="O34" s="152"/>
      <c r="P34" s="152"/>
    </row>
    <row r="35" spans="1:16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  <c r="O35" s="152"/>
      <c r="P35" s="152"/>
    </row>
    <row r="36" spans="1:16">
      <c r="A36" s="14"/>
      <c r="B36" s="15"/>
      <c r="C36" s="10"/>
      <c r="D36" s="16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  <c r="O36" s="152"/>
      <c r="P36" s="152"/>
    </row>
    <row r="37" spans="1:16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6">
      <c r="A38" s="14"/>
      <c r="B38" s="15"/>
      <c r="C38" s="10"/>
      <c r="D38" s="36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6">
      <c r="A39" s="17"/>
      <c r="B39" s="18"/>
      <c r="C39" s="10"/>
      <c r="D39" s="19"/>
      <c r="E39" s="10"/>
      <c r="F39" s="61"/>
      <c r="G39" s="61"/>
      <c r="H39" s="10"/>
      <c r="I39" s="11"/>
      <c r="J39" s="13"/>
      <c r="K39" s="12"/>
      <c r="L39" s="12"/>
      <c r="M39" s="156">
        <f t="shared" si="0"/>
        <v>0</v>
      </c>
      <c r="N39" s="42"/>
    </row>
    <row r="40" spans="1:16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6155</v>
      </c>
      <c r="N40" s="26">
        <f>SUM(N2:N39)</f>
        <v>420</v>
      </c>
    </row>
    <row r="41" spans="1:16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6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6">
      <c r="C43" s="30"/>
    </row>
    <row r="44" spans="1:16">
      <c r="C44" s="30"/>
    </row>
    <row r="45" spans="1:16">
      <c r="C45" s="30"/>
    </row>
    <row r="46" spans="1:16">
      <c r="C46" s="30"/>
    </row>
    <row r="47" spans="1:16">
      <c r="C47" s="30"/>
    </row>
    <row r="48" spans="1:16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AA0C-48F5-41AC-8DD0-4648DB4798F6}">
  <dimension ref="A1:P135"/>
  <sheetViews>
    <sheetView topLeftCell="C1" workbookViewId="0">
      <selection activeCell="N10" sqref="N10"/>
    </sheetView>
  </sheetViews>
  <sheetFormatPr defaultColWidth="8.75" defaultRowHeight="15"/>
  <cols>
    <col min="1" max="1" width="9" style="29"/>
    <col min="3" max="3" width="60.25" customWidth="1"/>
    <col min="4" max="4" width="25.25" customWidth="1"/>
    <col min="5" max="5" width="9" style="35" bestFit="1" customWidth="1"/>
    <col min="6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67" t="s">
        <v>17</v>
      </c>
      <c r="B1" s="68" t="s">
        <v>18</v>
      </c>
      <c r="C1" s="68" t="s">
        <v>54</v>
      </c>
      <c r="D1" s="69" t="s">
        <v>77</v>
      </c>
      <c r="E1" s="89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31" customFormat="1" ht="17.25" customHeight="1">
      <c r="A2" s="143">
        <v>547232</v>
      </c>
      <c r="B2" s="153">
        <v>0.33333333333333331</v>
      </c>
      <c r="C2" s="148" t="s">
        <v>381</v>
      </c>
      <c r="D2" s="7" t="s">
        <v>33</v>
      </c>
      <c r="E2" s="148" t="s">
        <v>34</v>
      </c>
      <c r="F2" s="217">
        <v>0.34375</v>
      </c>
      <c r="G2" s="217">
        <v>0.375</v>
      </c>
      <c r="H2" s="148"/>
      <c r="I2" s="218"/>
      <c r="J2" s="155" t="s">
        <v>382</v>
      </c>
      <c r="K2" s="250">
        <v>90</v>
      </c>
      <c r="L2" s="44">
        <v>460</v>
      </c>
      <c r="M2" s="42">
        <f t="shared" ref="M2:M38" si="0">SUM(K2:L2)</f>
        <v>550</v>
      </c>
      <c r="N2" s="42">
        <v>30</v>
      </c>
      <c r="O2" s="216"/>
      <c r="P2" s="143"/>
    </row>
    <row r="3" spans="1:16" s="131" customFormat="1" ht="17.25" customHeight="1">
      <c r="A3" s="402">
        <v>547042</v>
      </c>
      <c r="B3" s="321">
        <v>0.47222222222222221</v>
      </c>
      <c r="C3" s="322" t="s">
        <v>104</v>
      </c>
      <c r="D3" s="7" t="s">
        <v>33</v>
      </c>
      <c r="E3" s="322" t="s">
        <v>34</v>
      </c>
      <c r="F3" s="377">
        <v>0.47916666666666669</v>
      </c>
      <c r="G3" s="377">
        <v>0.5</v>
      </c>
      <c r="H3" s="322"/>
      <c r="I3" s="378"/>
      <c r="J3" s="155"/>
      <c r="K3" s="403"/>
      <c r="L3" s="161">
        <v>400</v>
      </c>
      <c r="M3" s="156">
        <f t="shared" si="0"/>
        <v>400</v>
      </c>
      <c r="N3" s="156">
        <v>30</v>
      </c>
      <c r="O3" s="404"/>
      <c r="P3" s="402"/>
    </row>
    <row r="4" spans="1:16" s="111" customFormat="1" ht="17.25" customHeight="1">
      <c r="A4" s="297" t="s">
        <v>383</v>
      </c>
      <c r="B4" s="138">
        <v>0.53472222222222221</v>
      </c>
      <c r="C4" s="139" t="s">
        <v>104</v>
      </c>
      <c r="D4" s="166" t="s">
        <v>384</v>
      </c>
      <c r="E4" s="302" t="s">
        <v>34</v>
      </c>
      <c r="F4" s="141">
        <v>0.53472222222222221</v>
      </c>
      <c r="G4" s="141">
        <v>0.55555555555555558</v>
      </c>
      <c r="H4" s="302"/>
      <c r="I4" s="303"/>
      <c r="J4" s="155"/>
      <c r="K4" s="137"/>
      <c r="L4" s="136">
        <v>400</v>
      </c>
      <c r="M4" s="42">
        <f t="shared" si="0"/>
        <v>400</v>
      </c>
      <c r="N4" s="42">
        <v>30</v>
      </c>
    </row>
    <row r="5" spans="1:16" s="111" customFormat="1" ht="17.25" customHeight="1">
      <c r="A5" s="297" t="s">
        <v>383</v>
      </c>
      <c r="B5" s="138">
        <v>0.53472222222222221</v>
      </c>
      <c r="C5" s="139" t="s">
        <v>104</v>
      </c>
      <c r="D5" s="166" t="s">
        <v>385</v>
      </c>
      <c r="E5" s="302" t="s">
        <v>34</v>
      </c>
      <c r="F5" s="141">
        <v>0.53472222222222221</v>
      </c>
      <c r="G5" s="141">
        <v>0.55555555555555558</v>
      </c>
      <c r="H5" s="302"/>
      <c r="I5" s="303"/>
      <c r="J5" s="155"/>
      <c r="K5" s="137"/>
      <c r="L5" s="136">
        <v>400</v>
      </c>
      <c r="M5" s="42">
        <f t="shared" ref="M5" si="1">SUM(K5:L5)</f>
        <v>400</v>
      </c>
      <c r="N5" s="42">
        <v>30</v>
      </c>
    </row>
    <row r="6" spans="1:16" s="111" customFormat="1" ht="17.25" customHeight="1">
      <c r="A6" s="162" t="s">
        <v>386</v>
      </c>
      <c r="B6" s="248">
        <v>0.51388888888888884</v>
      </c>
      <c r="C6" s="92" t="s">
        <v>102</v>
      </c>
      <c r="D6" s="100" t="s">
        <v>33</v>
      </c>
      <c r="E6" s="182" t="s">
        <v>34</v>
      </c>
      <c r="F6" s="132">
        <v>0.54027777777777775</v>
      </c>
      <c r="G6" s="132">
        <v>0.56111111111111112</v>
      </c>
      <c r="H6" s="125"/>
      <c r="I6" s="93"/>
      <c r="J6" s="93" t="s">
        <v>40</v>
      </c>
      <c r="K6" s="135">
        <v>35</v>
      </c>
      <c r="L6" s="136">
        <v>400</v>
      </c>
      <c r="M6" s="42">
        <f t="shared" si="0"/>
        <v>435</v>
      </c>
      <c r="N6" s="42">
        <v>30</v>
      </c>
    </row>
    <row r="7" spans="1:16" s="111" customFormat="1" ht="17.25" customHeight="1">
      <c r="A7" s="162" t="s">
        <v>386</v>
      </c>
      <c r="B7" s="248">
        <v>0.51388888888888884</v>
      </c>
      <c r="C7" s="92" t="s">
        <v>102</v>
      </c>
      <c r="D7" s="100" t="s">
        <v>42</v>
      </c>
      <c r="E7" s="182" t="s">
        <v>34</v>
      </c>
      <c r="F7" s="132">
        <v>0.54027777777777775</v>
      </c>
      <c r="G7" s="132">
        <v>0.56111111111111112</v>
      </c>
      <c r="H7" s="125"/>
      <c r="I7" s="93"/>
      <c r="J7" s="93" t="s">
        <v>40</v>
      </c>
      <c r="K7" s="135">
        <v>35</v>
      </c>
      <c r="L7" s="136">
        <v>400</v>
      </c>
      <c r="M7" s="42">
        <f t="shared" ref="M7" si="2">SUM(K7:L7)</f>
        <v>435</v>
      </c>
      <c r="N7" s="42">
        <v>30</v>
      </c>
    </row>
    <row r="8" spans="1:16" s="111" customFormat="1" ht="17.25" customHeight="1">
      <c r="A8" s="90" t="s">
        <v>387</v>
      </c>
      <c r="B8" s="48">
        <v>0.4375</v>
      </c>
      <c r="C8" s="92" t="s">
        <v>120</v>
      </c>
      <c r="D8" s="166" t="s">
        <v>388</v>
      </c>
      <c r="E8" s="129" t="s">
        <v>34</v>
      </c>
      <c r="F8" s="40">
        <v>0.4375</v>
      </c>
      <c r="G8" s="40">
        <v>0.6875</v>
      </c>
      <c r="H8" s="92"/>
      <c r="I8" s="41"/>
      <c r="J8" s="41" t="s">
        <v>389</v>
      </c>
      <c r="K8" s="42"/>
      <c r="L8" s="44">
        <v>1380</v>
      </c>
      <c r="M8" s="42">
        <f t="shared" si="0"/>
        <v>1380</v>
      </c>
      <c r="N8" s="42">
        <v>30</v>
      </c>
      <c r="P8" s="111" t="s">
        <v>390</v>
      </c>
    </row>
    <row r="9" spans="1:16" s="111" customFormat="1" ht="17.25" customHeight="1">
      <c r="A9" s="45" t="s">
        <v>391</v>
      </c>
      <c r="B9" s="46">
        <v>0.73958333333333337</v>
      </c>
      <c r="C9" s="39" t="s">
        <v>392</v>
      </c>
      <c r="D9" s="39" t="s">
        <v>42</v>
      </c>
      <c r="E9" s="39" t="s">
        <v>34</v>
      </c>
      <c r="F9" s="40">
        <v>0.7416666666666667</v>
      </c>
      <c r="G9" s="40">
        <v>0.76388888888888884</v>
      </c>
      <c r="H9" s="39"/>
      <c r="I9" s="41"/>
      <c r="J9" s="155"/>
      <c r="K9" s="42"/>
      <c r="L9" s="44">
        <v>400</v>
      </c>
      <c r="M9" s="42">
        <f t="shared" si="0"/>
        <v>400</v>
      </c>
      <c r="N9" s="42">
        <v>30</v>
      </c>
    </row>
    <row r="10" spans="1:16" s="111" customFormat="1" ht="17.25" customHeight="1">
      <c r="A10" s="100">
        <v>547442</v>
      </c>
      <c r="B10" s="99">
        <v>0.74305555555555558</v>
      </c>
      <c r="C10" s="39" t="s">
        <v>393</v>
      </c>
      <c r="D10" s="100" t="s">
        <v>208</v>
      </c>
      <c r="E10" s="39" t="s">
        <v>34</v>
      </c>
      <c r="F10" s="40">
        <v>0.77083333333333337</v>
      </c>
      <c r="G10" s="40">
        <v>0.80208333333333337</v>
      </c>
      <c r="H10" s="39"/>
      <c r="I10" s="41"/>
      <c r="J10" s="155" t="s">
        <v>40</v>
      </c>
      <c r="K10" s="42">
        <v>35</v>
      </c>
      <c r="L10" s="44">
        <v>400</v>
      </c>
      <c r="M10" s="42">
        <f t="shared" si="0"/>
        <v>435</v>
      </c>
      <c r="N10" s="42">
        <v>30</v>
      </c>
    </row>
    <row r="11" spans="1:16" s="111" customFormat="1" ht="17.25" customHeight="1">
      <c r="A11" s="90"/>
      <c r="B11" s="91"/>
      <c r="C11" s="39"/>
      <c r="D11" s="7"/>
      <c r="E11" s="39"/>
      <c r="F11" s="40"/>
      <c r="G11" s="40"/>
      <c r="H11" s="39"/>
      <c r="I11" s="41"/>
      <c r="J11" s="155"/>
      <c r="K11" s="42"/>
      <c r="L11" s="44"/>
      <c r="M11" s="42">
        <f t="shared" si="0"/>
        <v>0</v>
      </c>
      <c r="N11" s="42"/>
    </row>
    <row r="12" spans="1:16" ht="17.25" customHeight="1">
      <c r="A12" s="90"/>
      <c r="B12" s="48"/>
      <c r="C12" s="92"/>
      <c r="D12" s="94"/>
      <c r="E12" s="39"/>
      <c r="F12" s="40"/>
      <c r="G12" s="40"/>
      <c r="H12" s="39"/>
      <c r="I12" s="41"/>
      <c r="J12" s="43"/>
      <c r="K12" s="42"/>
      <c r="L12" s="44"/>
      <c r="M12" s="42">
        <f t="shared" si="0"/>
        <v>0</v>
      </c>
      <c r="N12" s="42"/>
    </row>
    <row r="13" spans="1:16" ht="17.25" customHeight="1">
      <c r="A13" s="90"/>
      <c r="B13" s="48"/>
      <c r="C13" s="92"/>
      <c r="D13" s="7"/>
      <c r="E13" s="39"/>
      <c r="F13" s="40"/>
      <c r="G13" s="40"/>
      <c r="H13" s="39"/>
      <c r="I13" s="41"/>
      <c r="J13" s="43"/>
      <c r="K13" s="42"/>
      <c r="L13" s="44"/>
      <c r="M13" s="42">
        <f t="shared" si="0"/>
        <v>0</v>
      </c>
      <c r="N13" s="42"/>
    </row>
    <row r="14" spans="1:16">
      <c r="A14" s="47"/>
      <c r="B14" s="48"/>
      <c r="C14" s="39"/>
      <c r="D14" s="60"/>
      <c r="E14" s="39"/>
      <c r="F14" s="40"/>
      <c r="G14" s="40"/>
      <c r="H14" s="39"/>
      <c r="I14" s="41"/>
      <c r="J14" s="43"/>
      <c r="K14" s="42"/>
      <c r="L14" s="44"/>
      <c r="M14" s="156">
        <f t="shared" si="0"/>
        <v>0</v>
      </c>
      <c r="N14" s="42"/>
    </row>
    <row r="15" spans="1:16">
      <c r="A15" s="45"/>
      <c r="B15" s="46"/>
      <c r="C15" s="39"/>
      <c r="D15" s="7"/>
      <c r="E15" s="39"/>
      <c r="F15" s="40"/>
      <c r="G15" s="40"/>
      <c r="H15" s="39"/>
      <c r="I15" s="41"/>
      <c r="J15" s="43"/>
      <c r="K15" s="42"/>
      <c r="L15" s="42"/>
      <c r="M15" s="156">
        <f t="shared" si="0"/>
        <v>0</v>
      </c>
      <c r="N15" s="42"/>
    </row>
    <row r="16" spans="1:16">
      <c r="A16" s="1"/>
      <c r="B16" s="8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6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6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64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9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63"/>
      <c r="E29" s="10"/>
      <c r="F29" s="61"/>
      <c r="G29" s="61"/>
      <c r="H29" s="10"/>
      <c r="I29" s="11"/>
      <c r="J29" s="13"/>
      <c r="K29" s="12"/>
      <c r="L29" s="12"/>
      <c r="M29" s="156">
        <f t="shared" si="0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6">
        <f t="shared" si="0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51"/>
      <c r="B38" s="62"/>
      <c r="C38" s="53"/>
      <c r="D38" s="36"/>
      <c r="E38" s="53"/>
      <c r="F38" s="62"/>
      <c r="G38" s="62"/>
      <c r="H38" s="53"/>
      <c r="I38" s="55"/>
      <c r="J38" s="56"/>
      <c r="K38" s="50"/>
      <c r="L38" s="50"/>
      <c r="M38" s="156">
        <f t="shared" si="0"/>
        <v>0</v>
      </c>
      <c r="N38" s="42"/>
    </row>
    <row r="39" spans="1:14">
      <c r="A39" s="20"/>
      <c r="B39" s="21"/>
      <c r="C39" s="22"/>
      <c r="D39" s="21"/>
      <c r="E39" s="34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34"/>
      <c r="F40" s="21"/>
      <c r="G40" s="21"/>
      <c r="H40" s="21"/>
      <c r="I40" s="23"/>
      <c r="J40" s="25"/>
      <c r="K40" s="24"/>
      <c r="L40" s="24"/>
      <c r="M40" s="24">
        <f>SUM(M2:M39)</f>
        <v>4835</v>
      </c>
      <c r="N40" s="361">
        <f>SUM(N2:N39)</f>
        <v>270</v>
      </c>
    </row>
    <row r="41" spans="1:14">
      <c r="A41" s="20"/>
      <c r="B41" s="21"/>
      <c r="C41" s="22"/>
      <c r="D41" s="21"/>
      <c r="E41" s="34"/>
      <c r="F41" s="21"/>
      <c r="G41" s="21"/>
      <c r="H41" s="21"/>
      <c r="J41" s="25"/>
      <c r="K41" s="24"/>
      <c r="L41" s="24"/>
      <c r="M41" s="26"/>
      <c r="N41" s="26"/>
    </row>
    <row r="42" spans="1:14">
      <c r="A42" s="20"/>
      <c r="B42" s="21"/>
      <c r="C42" s="22"/>
      <c r="D42" s="21"/>
      <c r="E42" s="34"/>
      <c r="F42" s="21"/>
      <c r="G42" s="21"/>
      <c r="H42" s="21"/>
      <c r="J42" s="25"/>
      <c r="K42" s="24"/>
      <c r="L42" s="24"/>
      <c r="M42" s="27"/>
    </row>
    <row r="43" spans="1:14">
      <c r="A43" s="20"/>
      <c r="B43" s="21"/>
      <c r="C43" s="22"/>
      <c r="D43" s="21"/>
      <c r="E43" s="34"/>
      <c r="F43" s="21"/>
      <c r="G43" s="21"/>
      <c r="H43" s="21"/>
      <c r="J43" s="25"/>
      <c r="K43" s="24"/>
      <c r="L43" s="24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</sheetData>
  <sortState xmlns:xlrd2="http://schemas.microsoft.com/office/spreadsheetml/2017/richdata2" ref="A2:N135">
    <sortCondition ref="B2:B135"/>
  </sortState>
  <phoneticPr fontId="1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4371-DE95-49FD-B00E-B65B42261929}">
  <dimension ref="A1:P133"/>
  <sheetViews>
    <sheetView topLeftCell="C1" workbookViewId="0">
      <selection activeCell="D18" sqref="D18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45" customFormat="1" ht="17.25" customHeight="1">
      <c r="A2" s="90" t="s">
        <v>394</v>
      </c>
      <c r="B2" s="91">
        <v>6.25E-2</v>
      </c>
      <c r="C2" s="100" t="s">
        <v>104</v>
      </c>
      <c r="D2" s="269" t="s">
        <v>151</v>
      </c>
      <c r="E2" s="39" t="s">
        <v>34</v>
      </c>
      <c r="F2" s="40">
        <v>5.9027777777777776E-2</v>
      </c>
      <c r="G2" s="40">
        <v>7.6388888888888895E-2</v>
      </c>
      <c r="H2" s="39"/>
      <c r="I2" s="41"/>
      <c r="J2" s="175" t="s">
        <v>105</v>
      </c>
      <c r="K2" s="193">
        <v>60</v>
      </c>
      <c r="L2" s="194">
        <v>400</v>
      </c>
      <c r="M2" s="42">
        <f t="shared" ref="M2:M36" si="0">SUM(K2:L2)</f>
        <v>460</v>
      </c>
      <c r="N2" s="42">
        <v>30</v>
      </c>
    </row>
    <row r="3" spans="1:16" s="145" customFormat="1" ht="17.25" customHeight="1">
      <c r="A3" s="90" t="s">
        <v>395</v>
      </c>
      <c r="B3" s="91">
        <v>8.3333333333333329E-2</v>
      </c>
      <c r="C3" s="100" t="s">
        <v>270</v>
      </c>
      <c r="D3" s="7" t="s">
        <v>151</v>
      </c>
      <c r="E3" s="39" t="s">
        <v>34</v>
      </c>
      <c r="F3" s="40">
        <v>0.11458333333333333</v>
      </c>
      <c r="G3" s="40">
        <v>0.13541666666666666</v>
      </c>
      <c r="H3" s="39"/>
      <c r="I3" s="41"/>
      <c r="J3" s="41" t="s">
        <v>396</v>
      </c>
      <c r="K3" s="156">
        <v>95</v>
      </c>
      <c r="L3" s="161">
        <v>400</v>
      </c>
      <c r="M3" s="156">
        <f t="shared" si="0"/>
        <v>495</v>
      </c>
      <c r="N3" s="42">
        <v>30</v>
      </c>
    </row>
    <row r="4" spans="1:16" s="145" customFormat="1" ht="17.25" customHeight="1">
      <c r="A4" s="90" t="s">
        <v>395</v>
      </c>
      <c r="B4" s="91">
        <v>8.3333333333333329E-2</v>
      </c>
      <c r="C4" s="100" t="s">
        <v>270</v>
      </c>
      <c r="D4" s="7" t="s">
        <v>42</v>
      </c>
      <c r="E4" s="39" t="s">
        <v>34</v>
      </c>
      <c r="F4" s="40">
        <v>0.11458333333333333</v>
      </c>
      <c r="G4" s="40">
        <v>0.13541666666666666</v>
      </c>
      <c r="H4" s="39"/>
      <c r="I4" s="41"/>
      <c r="J4" s="41" t="s">
        <v>396</v>
      </c>
      <c r="K4" s="156">
        <v>95</v>
      </c>
      <c r="L4" s="161">
        <v>400</v>
      </c>
      <c r="M4" s="156">
        <f t="shared" ref="M4" si="1">SUM(K4:L4)</f>
        <v>495</v>
      </c>
      <c r="N4" s="42">
        <v>30</v>
      </c>
    </row>
    <row r="5" spans="1:16" s="111" customFormat="1" ht="17.25" customHeight="1">
      <c r="A5" s="90" t="s">
        <v>397</v>
      </c>
      <c r="B5" s="48">
        <v>0.125</v>
      </c>
      <c r="C5" s="92" t="s">
        <v>104</v>
      </c>
      <c r="D5" s="7" t="s">
        <v>33</v>
      </c>
      <c r="E5" s="39" t="s">
        <v>34</v>
      </c>
      <c r="F5" s="40">
        <v>0.125</v>
      </c>
      <c r="G5" s="40">
        <v>0.14583333333333334</v>
      </c>
      <c r="H5" s="39"/>
      <c r="I5" s="41"/>
      <c r="J5" s="155" t="s">
        <v>171</v>
      </c>
      <c r="K5" s="156">
        <v>60</v>
      </c>
      <c r="L5" s="161">
        <v>400</v>
      </c>
      <c r="M5" s="156">
        <f t="shared" si="0"/>
        <v>460</v>
      </c>
      <c r="N5" s="42">
        <v>30</v>
      </c>
    </row>
    <row r="6" spans="1:16" s="111" customFormat="1" ht="17.25" customHeight="1">
      <c r="A6" s="90" t="s">
        <v>397</v>
      </c>
      <c r="B6" s="48">
        <v>0.125</v>
      </c>
      <c r="C6" s="92" t="s">
        <v>104</v>
      </c>
      <c r="D6" s="7" t="s">
        <v>398</v>
      </c>
      <c r="E6" s="39" t="s">
        <v>34</v>
      </c>
      <c r="F6" s="40">
        <v>0.125</v>
      </c>
      <c r="G6" s="40">
        <v>0.14583333333333334</v>
      </c>
      <c r="H6" s="39"/>
      <c r="I6" s="41"/>
      <c r="J6" s="155" t="s">
        <v>171</v>
      </c>
      <c r="K6" s="156">
        <v>60</v>
      </c>
      <c r="L6" s="161">
        <v>400</v>
      </c>
      <c r="M6" s="156">
        <f t="shared" ref="M6" si="2">SUM(K6:L6)</f>
        <v>460</v>
      </c>
      <c r="N6" s="42">
        <v>30</v>
      </c>
    </row>
    <row r="7" spans="1:16" ht="17.25" customHeight="1">
      <c r="A7" s="90" t="s">
        <v>399</v>
      </c>
      <c r="B7" s="91">
        <v>0.27083333333333331</v>
      </c>
      <c r="C7" s="100" t="s">
        <v>400</v>
      </c>
      <c r="D7" s="7" t="s">
        <v>401</v>
      </c>
      <c r="E7" s="39" t="s">
        <v>34</v>
      </c>
      <c r="F7" s="40">
        <v>0.24305555555555555</v>
      </c>
      <c r="G7" s="40">
        <v>0.26597222222222222</v>
      </c>
      <c r="H7" s="39"/>
      <c r="I7" s="41"/>
      <c r="J7" s="155" t="s">
        <v>171</v>
      </c>
      <c r="K7" s="156">
        <v>60</v>
      </c>
      <c r="L7" s="161">
        <v>400</v>
      </c>
      <c r="M7" s="156">
        <f t="shared" si="0"/>
        <v>460</v>
      </c>
      <c r="N7" s="42">
        <v>30</v>
      </c>
    </row>
    <row r="8" spans="1:16" ht="17.25" customHeight="1">
      <c r="A8" s="90" t="s">
        <v>402</v>
      </c>
      <c r="B8" s="91">
        <v>0.2638888888888889</v>
      </c>
      <c r="C8" s="100" t="s">
        <v>403</v>
      </c>
      <c r="D8" s="7" t="s">
        <v>398</v>
      </c>
      <c r="E8" s="39" t="s">
        <v>34</v>
      </c>
      <c r="F8" s="40">
        <v>0.26041666666666669</v>
      </c>
      <c r="G8" s="40">
        <v>0.28125</v>
      </c>
      <c r="H8" s="39"/>
      <c r="I8" s="41"/>
      <c r="J8" s="155" t="s">
        <v>404</v>
      </c>
      <c r="K8" s="42">
        <v>95</v>
      </c>
      <c r="L8" s="44">
        <v>400</v>
      </c>
      <c r="M8" s="42">
        <f t="shared" si="0"/>
        <v>495</v>
      </c>
      <c r="N8" s="42">
        <v>30</v>
      </c>
    </row>
    <row r="9" spans="1:16" ht="17.25" customHeight="1">
      <c r="A9" s="90" t="s">
        <v>405</v>
      </c>
      <c r="B9" s="91">
        <v>0.37152777777777779</v>
      </c>
      <c r="C9" s="100" t="s">
        <v>48</v>
      </c>
      <c r="D9" s="7" t="s">
        <v>406</v>
      </c>
      <c r="E9" s="39" t="s">
        <v>34</v>
      </c>
      <c r="F9" s="40">
        <v>0.37152777777777779</v>
      </c>
      <c r="G9" s="40">
        <v>0.3888888888888889</v>
      </c>
      <c r="H9" s="39"/>
      <c r="I9" s="41"/>
      <c r="J9" s="155"/>
      <c r="K9" s="42"/>
      <c r="L9" s="44">
        <v>400</v>
      </c>
      <c r="M9" s="42">
        <f t="shared" si="0"/>
        <v>400</v>
      </c>
      <c r="N9" s="42">
        <v>30</v>
      </c>
    </row>
    <row r="10" spans="1:16" ht="17.25" customHeight="1">
      <c r="A10" s="90" t="s">
        <v>405</v>
      </c>
      <c r="B10" s="91">
        <v>0.37152777777777779</v>
      </c>
      <c r="C10" s="100" t="s">
        <v>48</v>
      </c>
      <c r="D10" s="7" t="s">
        <v>398</v>
      </c>
      <c r="E10" s="39" t="s">
        <v>34</v>
      </c>
      <c r="F10" s="40">
        <v>0.37152777777777779</v>
      </c>
      <c r="G10" s="40">
        <v>0.3888888888888889</v>
      </c>
      <c r="H10" s="39"/>
      <c r="I10" s="41"/>
      <c r="J10" s="155"/>
      <c r="K10" s="42"/>
      <c r="L10" s="44">
        <v>400</v>
      </c>
      <c r="M10" s="42">
        <f t="shared" ref="M10" si="3">SUM(K10:L10)</f>
        <v>400</v>
      </c>
      <c r="N10" s="42">
        <v>30</v>
      </c>
    </row>
    <row r="11" spans="1:16" ht="17.25" customHeight="1">
      <c r="A11" s="90" t="s">
        <v>407</v>
      </c>
      <c r="B11" s="163">
        <v>0.35069444444444442</v>
      </c>
      <c r="C11" s="166" t="s">
        <v>408</v>
      </c>
      <c r="D11" s="7" t="s">
        <v>409</v>
      </c>
      <c r="E11" s="39" t="s">
        <v>34</v>
      </c>
      <c r="F11" s="40">
        <v>0.375</v>
      </c>
      <c r="G11" s="40">
        <v>0.40277777777777779</v>
      </c>
      <c r="H11" s="39"/>
      <c r="I11" s="41"/>
      <c r="J11" s="155">
        <v>35</v>
      </c>
      <c r="K11" s="42">
        <v>35</v>
      </c>
      <c r="L11" s="44">
        <v>400</v>
      </c>
      <c r="M11" s="42">
        <f t="shared" si="0"/>
        <v>435</v>
      </c>
      <c r="N11" s="42">
        <v>30</v>
      </c>
    </row>
    <row r="12" spans="1:16">
      <c r="A12" s="47" t="s">
        <v>410</v>
      </c>
      <c r="B12" s="48">
        <v>0.38194444444444442</v>
      </c>
      <c r="C12" s="39" t="s">
        <v>64</v>
      </c>
      <c r="D12" s="60" t="s">
        <v>411</v>
      </c>
      <c r="E12" s="39" t="s">
        <v>34</v>
      </c>
      <c r="F12" s="40">
        <v>0.41666666666666669</v>
      </c>
      <c r="G12" s="40">
        <v>0.43402777777777779</v>
      </c>
      <c r="H12" s="39"/>
      <c r="I12" s="41"/>
      <c r="J12" s="43" t="s">
        <v>40</v>
      </c>
      <c r="K12" s="42">
        <v>35</v>
      </c>
      <c r="L12" s="44">
        <v>400</v>
      </c>
      <c r="M12" s="156">
        <f t="shared" si="0"/>
        <v>435</v>
      </c>
      <c r="N12" s="42">
        <v>30</v>
      </c>
    </row>
    <row r="13" spans="1:16">
      <c r="A13" s="45" t="s">
        <v>412</v>
      </c>
      <c r="B13" s="46">
        <v>0.42708333333333331</v>
      </c>
      <c r="C13" s="39" t="s">
        <v>48</v>
      </c>
      <c r="D13" s="7" t="s">
        <v>409</v>
      </c>
      <c r="E13" s="39" t="s">
        <v>34</v>
      </c>
      <c r="F13" s="40">
        <v>0.43055555555555558</v>
      </c>
      <c r="G13" s="40">
        <v>0.4513888888888889</v>
      </c>
      <c r="H13" s="39"/>
      <c r="I13" s="41"/>
      <c r="J13" s="43"/>
      <c r="K13" s="42"/>
      <c r="L13" s="42">
        <v>400</v>
      </c>
      <c r="M13" s="156">
        <f t="shared" si="0"/>
        <v>400</v>
      </c>
      <c r="N13" s="42">
        <v>30</v>
      </c>
    </row>
    <row r="14" spans="1:16">
      <c r="A14" s="1" t="s">
        <v>413</v>
      </c>
      <c r="B14" s="8">
        <v>0.375</v>
      </c>
      <c r="C14" s="53" t="s">
        <v>120</v>
      </c>
      <c r="D14" s="36" t="s">
        <v>151</v>
      </c>
      <c r="E14" s="53" t="s">
        <v>34</v>
      </c>
      <c r="F14" s="61">
        <v>0.375</v>
      </c>
      <c r="G14" s="61">
        <v>0.76736111111111116</v>
      </c>
      <c r="H14" s="53"/>
      <c r="I14" s="55"/>
      <c r="J14" s="56" t="s">
        <v>414</v>
      </c>
      <c r="K14" s="50">
        <v>260</v>
      </c>
      <c r="L14" s="50">
        <v>2185</v>
      </c>
      <c r="M14" s="156">
        <f t="shared" si="0"/>
        <v>2445</v>
      </c>
      <c r="N14" s="42">
        <v>30</v>
      </c>
      <c r="P14" t="s">
        <v>415</v>
      </c>
    </row>
    <row r="15" spans="1:16">
      <c r="A15" s="51" t="s">
        <v>416</v>
      </c>
      <c r="B15" s="62">
        <v>0.71180555555555558</v>
      </c>
      <c r="C15" s="53" t="s">
        <v>417</v>
      </c>
      <c r="D15" s="36" t="s">
        <v>418</v>
      </c>
      <c r="E15" s="53" t="s">
        <v>34</v>
      </c>
      <c r="F15" s="61">
        <v>0.73263888888888884</v>
      </c>
      <c r="G15" s="61">
        <v>0.75694444444444442</v>
      </c>
      <c r="H15" s="53"/>
      <c r="I15" s="55"/>
      <c r="J15" s="56" t="s">
        <v>66</v>
      </c>
      <c r="K15" s="50">
        <v>35</v>
      </c>
      <c r="L15" s="50">
        <v>400</v>
      </c>
      <c r="M15" s="156">
        <f t="shared" si="0"/>
        <v>435</v>
      </c>
      <c r="N15" s="42">
        <v>30</v>
      </c>
    </row>
    <row r="16" spans="1:16">
      <c r="A16" s="51" t="s">
        <v>419</v>
      </c>
      <c r="B16" s="62">
        <v>0.77777777777777779</v>
      </c>
      <c r="C16" s="53" t="s">
        <v>420</v>
      </c>
      <c r="D16" s="36" t="s">
        <v>418</v>
      </c>
      <c r="E16" s="53" t="s">
        <v>34</v>
      </c>
      <c r="F16" s="61">
        <v>0.77083333333333337</v>
      </c>
      <c r="G16" s="61">
        <v>0.79861111111111116</v>
      </c>
      <c r="H16" s="53"/>
      <c r="I16" s="55"/>
      <c r="J16" s="56"/>
      <c r="K16" s="50"/>
      <c r="L16" s="50">
        <v>400</v>
      </c>
      <c r="M16" s="156">
        <f t="shared" si="0"/>
        <v>400</v>
      </c>
      <c r="N16" s="42">
        <v>30</v>
      </c>
    </row>
    <row r="17" spans="1:14">
      <c r="A17" s="51" t="s">
        <v>421</v>
      </c>
      <c r="B17" s="62">
        <v>0.77430555555555558</v>
      </c>
      <c r="C17" s="53" t="s">
        <v>163</v>
      </c>
      <c r="D17" s="36" t="s">
        <v>422</v>
      </c>
      <c r="E17" s="53" t="s">
        <v>34</v>
      </c>
      <c r="F17" s="61">
        <v>0.79166666666666663</v>
      </c>
      <c r="G17" s="61">
        <v>0.81805555555555554</v>
      </c>
      <c r="H17" s="53"/>
      <c r="I17" s="55"/>
      <c r="J17" s="56" t="s">
        <v>66</v>
      </c>
      <c r="K17" s="50">
        <v>35</v>
      </c>
      <c r="L17" s="50">
        <v>400</v>
      </c>
      <c r="M17" s="156">
        <f t="shared" si="0"/>
        <v>435</v>
      </c>
      <c r="N17" s="42">
        <v>30</v>
      </c>
    </row>
    <row r="18" spans="1:14">
      <c r="A18" s="51" t="s">
        <v>421</v>
      </c>
      <c r="B18" s="62">
        <v>0.77430555555555558</v>
      </c>
      <c r="C18" s="53" t="s">
        <v>163</v>
      </c>
      <c r="D18" s="36" t="s">
        <v>423</v>
      </c>
      <c r="E18" s="53" t="s">
        <v>34</v>
      </c>
      <c r="F18" s="61">
        <v>0.79166666666666663</v>
      </c>
      <c r="G18" s="61">
        <v>0.81805555555555554</v>
      </c>
      <c r="H18" s="53"/>
      <c r="I18" s="55"/>
      <c r="J18" s="56" t="s">
        <v>66</v>
      </c>
      <c r="K18" s="50">
        <v>35</v>
      </c>
      <c r="L18" s="50">
        <v>400</v>
      </c>
      <c r="M18" s="156">
        <f t="shared" ref="M18" si="4">SUM(K18:L18)</f>
        <v>435</v>
      </c>
      <c r="N18" s="42">
        <v>30</v>
      </c>
    </row>
    <row r="19" spans="1:14">
      <c r="A19" s="51"/>
      <c r="B19" s="62"/>
      <c r="C19" s="53"/>
      <c r="D19" s="63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53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64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9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51"/>
      <c r="B27" s="62"/>
      <c r="C27" s="53"/>
      <c r="D27" s="63"/>
      <c r="E27" s="10"/>
      <c r="F27" s="61"/>
      <c r="G27" s="61"/>
      <c r="H27" s="10"/>
      <c r="I27" s="11"/>
      <c r="J27" s="13"/>
      <c r="K27" s="12"/>
      <c r="L27" s="12"/>
      <c r="M27" s="156">
        <f t="shared" si="0"/>
        <v>0</v>
      </c>
      <c r="N27" s="42"/>
    </row>
    <row r="28" spans="1:14">
      <c r="A28" s="14"/>
      <c r="B28" s="15"/>
      <c r="C28" s="10"/>
      <c r="D28" s="36"/>
      <c r="E28" s="10"/>
      <c r="F28" s="61"/>
      <c r="G28" s="61"/>
      <c r="H28" s="10"/>
      <c r="I28" s="11"/>
      <c r="J28" s="13"/>
      <c r="K28" s="12"/>
      <c r="L28" s="12"/>
      <c r="M28" s="156">
        <f t="shared" si="0"/>
        <v>0</v>
      </c>
      <c r="N28" s="42"/>
    </row>
    <row r="29" spans="1:14">
      <c r="A29" s="14"/>
      <c r="B29" s="15"/>
      <c r="C29" s="10"/>
      <c r="D29" s="16"/>
      <c r="E29" s="10"/>
      <c r="F29" s="61"/>
      <c r="G29" s="61"/>
      <c r="H29" s="10"/>
      <c r="I29" s="11"/>
      <c r="J29" s="13"/>
      <c r="K29" s="12"/>
      <c r="L29" s="12"/>
      <c r="M29" s="156">
        <f t="shared" si="0"/>
        <v>0</v>
      </c>
      <c r="N29" s="42"/>
    </row>
    <row r="30" spans="1:14">
      <c r="A30" s="14"/>
      <c r="B30" s="15"/>
      <c r="C30" s="10"/>
      <c r="D30" s="16"/>
      <c r="E30" s="10"/>
      <c r="F30" s="61"/>
      <c r="G30" s="61"/>
      <c r="H30" s="10"/>
      <c r="I30" s="11"/>
      <c r="J30" s="13"/>
      <c r="K30" s="12"/>
      <c r="L30" s="12"/>
      <c r="M30" s="156">
        <f t="shared" si="0"/>
        <v>0</v>
      </c>
      <c r="N30" s="42"/>
    </row>
    <row r="31" spans="1:14">
      <c r="A31" s="14"/>
      <c r="B31" s="15"/>
      <c r="C31" s="10"/>
      <c r="D31" s="36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17"/>
      <c r="B32" s="18"/>
      <c r="C32" s="10"/>
      <c r="D32" s="19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7"/>
      <c r="B33" s="18"/>
      <c r="C33" s="10"/>
      <c r="D33" s="19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4"/>
      <c r="B35" s="15"/>
      <c r="C35" s="10"/>
      <c r="D35" s="64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4"/>
      <c r="B36" s="15"/>
      <c r="C36" s="53"/>
      <c r="D36" s="64"/>
      <c r="E36" s="53"/>
      <c r="F36" s="62"/>
      <c r="G36" s="62"/>
      <c r="H36" s="53"/>
      <c r="I36" s="55"/>
      <c r="J36" s="56"/>
      <c r="K36" s="50"/>
      <c r="L36" s="50"/>
      <c r="M36" s="156">
        <f t="shared" si="0"/>
        <v>0</v>
      </c>
      <c r="N36" s="42"/>
    </row>
    <row r="37" spans="1:14">
      <c r="A37" s="20"/>
      <c r="B37" s="21"/>
      <c r="C37" s="22"/>
      <c r="D37" s="21"/>
      <c r="E37" s="21"/>
      <c r="F37" s="21"/>
      <c r="G37" s="21"/>
      <c r="H37" s="21"/>
      <c r="I37" s="23"/>
      <c r="J37" s="25"/>
      <c r="K37" s="24"/>
      <c r="L37" s="24"/>
      <c r="M37" s="24"/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5"/>
      <c r="K38" s="24"/>
      <c r="L38" s="24"/>
      <c r="M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M39" s="26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7">
        <f>SUM(M2:M39)</f>
        <v>9545</v>
      </c>
      <c r="N40" s="27">
        <f>SUM(N2:N39)</f>
        <v>510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</sheetData>
  <sortState xmlns:xlrd2="http://schemas.microsoft.com/office/spreadsheetml/2017/richdata2" ref="A2:N133">
    <sortCondition ref="B2:B133"/>
  </sortState>
  <phoneticPr fontId="1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5996-9CE8-464C-A5BA-53A5F50671CC}">
  <dimension ref="A1:P137"/>
  <sheetViews>
    <sheetView topLeftCell="C1" zoomScale="62" zoomScaleNormal="62" workbookViewId="0">
      <selection activeCell="D6" sqref="D6"/>
    </sheetView>
  </sheetViews>
  <sheetFormatPr defaultColWidth="8.75" defaultRowHeight="15"/>
  <cols>
    <col min="1" max="1" width="9" style="29"/>
    <col min="3" max="3" width="58" customWidth="1"/>
    <col min="4" max="4" width="27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67" t="s">
        <v>17</v>
      </c>
      <c r="B1" s="68" t="s">
        <v>18</v>
      </c>
      <c r="C1" s="68" t="s">
        <v>54</v>
      </c>
      <c r="D1" s="69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31" customFormat="1" ht="17.25" customHeight="1">
      <c r="A2" s="90" t="s">
        <v>424</v>
      </c>
      <c r="B2" s="91">
        <v>0.12847222222222221</v>
      </c>
      <c r="C2" s="100" t="s">
        <v>104</v>
      </c>
      <c r="D2" s="7" t="s">
        <v>166</v>
      </c>
      <c r="E2" s="102" t="s">
        <v>34</v>
      </c>
      <c r="F2" s="40">
        <v>0.12847222222222221</v>
      </c>
      <c r="G2" s="40">
        <v>0.14722222222222223</v>
      </c>
      <c r="H2" s="39"/>
      <c r="I2" s="41"/>
      <c r="J2" s="41" t="s">
        <v>105</v>
      </c>
      <c r="K2" s="42">
        <v>60</v>
      </c>
      <c r="L2" s="44">
        <v>400</v>
      </c>
      <c r="M2" s="42">
        <f t="shared" ref="M2:M39" si="0">SUM(K2:L2)</f>
        <v>460</v>
      </c>
      <c r="N2" s="42">
        <v>30</v>
      </c>
      <c r="O2" s="143"/>
      <c r="P2" s="143"/>
    </row>
    <row r="3" spans="1:16" s="131" customFormat="1" ht="17.25" customHeight="1">
      <c r="A3" s="90" t="s">
        <v>425</v>
      </c>
      <c r="B3" s="91">
        <v>0.375</v>
      </c>
      <c r="C3" s="100" t="s">
        <v>104</v>
      </c>
      <c r="D3" s="120" t="s">
        <v>297</v>
      </c>
      <c r="E3" s="102" t="s">
        <v>34</v>
      </c>
      <c r="F3" s="40" t="s">
        <v>426</v>
      </c>
      <c r="G3" s="40">
        <v>0.39583333333333331</v>
      </c>
      <c r="H3" s="39"/>
      <c r="I3" s="41"/>
      <c r="J3" s="41"/>
      <c r="K3" s="42"/>
      <c r="L3" s="44">
        <v>400</v>
      </c>
      <c r="M3" s="42">
        <f t="shared" si="0"/>
        <v>400</v>
      </c>
      <c r="N3" s="42">
        <v>30</v>
      </c>
      <c r="O3" s="143"/>
      <c r="P3" s="143"/>
    </row>
    <row r="4" spans="1:16" s="131" customFormat="1" ht="17.25" customHeight="1">
      <c r="A4" s="90" t="s">
        <v>427</v>
      </c>
      <c r="B4" s="91">
        <v>0.33333333333333331</v>
      </c>
      <c r="C4" s="100" t="s">
        <v>104</v>
      </c>
      <c r="D4" s="120" t="s">
        <v>151</v>
      </c>
      <c r="E4" s="102" t="s">
        <v>34</v>
      </c>
      <c r="F4" s="40">
        <v>0.33333333333333331</v>
      </c>
      <c r="G4" s="40">
        <v>0.35416666666666669</v>
      </c>
      <c r="H4" s="39"/>
      <c r="I4" s="41"/>
      <c r="J4" s="41"/>
      <c r="K4" s="42"/>
      <c r="L4" s="44">
        <v>400</v>
      </c>
      <c r="M4" s="42">
        <v>400</v>
      </c>
      <c r="N4" s="42">
        <v>30</v>
      </c>
      <c r="O4" s="143"/>
      <c r="P4" s="143"/>
    </row>
    <row r="5" spans="1:16" s="131" customFormat="1" ht="17.25" customHeight="1">
      <c r="A5" s="90" t="s">
        <v>428</v>
      </c>
      <c r="B5" s="91">
        <v>0.3263888888888889</v>
      </c>
      <c r="C5" s="100" t="s">
        <v>429</v>
      </c>
      <c r="D5" s="7" t="s">
        <v>151</v>
      </c>
      <c r="E5" s="102" t="s">
        <v>34</v>
      </c>
      <c r="F5" s="40">
        <v>0.375</v>
      </c>
      <c r="G5" s="40">
        <v>0.39583333333333331</v>
      </c>
      <c r="H5" s="39"/>
      <c r="I5" s="41"/>
      <c r="J5" s="41" t="s">
        <v>40</v>
      </c>
      <c r="K5" s="42">
        <v>35</v>
      </c>
      <c r="L5" s="44">
        <v>400</v>
      </c>
      <c r="M5" s="42">
        <f t="shared" si="0"/>
        <v>435</v>
      </c>
      <c r="N5" s="42">
        <v>30</v>
      </c>
      <c r="O5" s="143"/>
      <c r="P5" s="143"/>
    </row>
    <row r="6" spans="1:16" s="131" customFormat="1" ht="17.25" customHeight="1">
      <c r="A6" s="90" t="s">
        <v>428</v>
      </c>
      <c r="B6" s="91">
        <v>0.3263888888888889</v>
      </c>
      <c r="C6" s="100" t="s">
        <v>429</v>
      </c>
      <c r="D6" s="7" t="s">
        <v>214</v>
      </c>
      <c r="E6" s="102" t="s">
        <v>34</v>
      </c>
      <c r="F6" s="40">
        <v>0.375</v>
      </c>
      <c r="G6" s="40">
        <v>0.39583333333333331</v>
      </c>
      <c r="H6" s="39"/>
      <c r="I6" s="41"/>
      <c r="J6" s="41" t="s">
        <v>40</v>
      </c>
      <c r="K6" s="42">
        <v>35</v>
      </c>
      <c r="L6" s="44">
        <v>400</v>
      </c>
      <c r="M6" s="42">
        <f t="shared" ref="M6" si="1">SUM(K6:L6)</f>
        <v>435</v>
      </c>
      <c r="N6" s="42">
        <v>30</v>
      </c>
      <c r="O6" s="143"/>
      <c r="P6" s="143"/>
    </row>
    <row r="7" spans="1:16" s="111" customFormat="1" ht="17.25" customHeight="1">
      <c r="A7" s="90" t="s">
        <v>430</v>
      </c>
      <c r="B7" s="91">
        <v>0.34375</v>
      </c>
      <c r="C7" s="100" t="s">
        <v>104</v>
      </c>
      <c r="D7" s="7" t="s">
        <v>431</v>
      </c>
      <c r="E7" s="102" t="s">
        <v>34</v>
      </c>
      <c r="F7" s="40">
        <v>0.3576388888888889</v>
      </c>
      <c r="G7" s="40">
        <v>0.37847222222222221</v>
      </c>
      <c r="H7" s="39"/>
      <c r="I7" s="41"/>
      <c r="J7" s="41"/>
      <c r="K7" s="42"/>
      <c r="L7" s="44">
        <v>400</v>
      </c>
      <c r="M7" s="42">
        <f t="shared" si="0"/>
        <v>400</v>
      </c>
      <c r="N7" s="42">
        <v>30</v>
      </c>
      <c r="O7" s="143"/>
      <c r="P7" s="143"/>
    </row>
    <row r="8" spans="1:16" s="111" customFormat="1" ht="17.25" customHeight="1">
      <c r="A8" s="90" t="s">
        <v>432</v>
      </c>
      <c r="B8" s="91">
        <v>0.19097222222222221</v>
      </c>
      <c r="C8" s="100" t="s">
        <v>104</v>
      </c>
      <c r="D8" s="7" t="s">
        <v>214</v>
      </c>
      <c r="E8" s="39" t="s">
        <v>34</v>
      </c>
      <c r="F8" s="40">
        <v>0.18611111111111112</v>
      </c>
      <c r="G8" s="40">
        <v>0.20833333333333334</v>
      </c>
      <c r="H8" s="39"/>
      <c r="I8" s="41"/>
      <c r="J8" s="41" t="s">
        <v>105</v>
      </c>
      <c r="K8" s="42">
        <v>60</v>
      </c>
      <c r="L8" s="44">
        <v>400</v>
      </c>
      <c r="M8" s="42">
        <f t="shared" si="0"/>
        <v>460</v>
      </c>
      <c r="N8" s="42">
        <v>30</v>
      </c>
    </row>
    <row r="9" spans="1:16" s="111" customFormat="1" ht="17.25" customHeight="1">
      <c r="A9" s="90" t="s">
        <v>433</v>
      </c>
      <c r="B9" s="91">
        <v>0.30208333333333331</v>
      </c>
      <c r="C9" s="100" t="s">
        <v>104</v>
      </c>
      <c r="D9" s="7" t="s">
        <v>214</v>
      </c>
      <c r="E9" s="39" t="s">
        <v>34</v>
      </c>
      <c r="F9" s="40">
        <v>0.30208333333333331</v>
      </c>
      <c r="G9" s="40">
        <v>0.3263888888888889</v>
      </c>
      <c r="H9" s="39"/>
      <c r="I9" s="41"/>
      <c r="J9" s="41"/>
      <c r="K9" s="42"/>
      <c r="L9" s="44">
        <v>400</v>
      </c>
      <c r="M9" s="42">
        <f t="shared" si="0"/>
        <v>400</v>
      </c>
      <c r="N9" s="42">
        <v>30</v>
      </c>
    </row>
    <row r="10" spans="1:16" s="6" customFormat="1" ht="17.25" customHeight="1">
      <c r="A10" s="90"/>
      <c r="B10" s="91"/>
      <c r="C10" s="100"/>
      <c r="D10" s="7"/>
      <c r="E10" s="39"/>
      <c r="F10" s="40"/>
      <c r="G10" s="40"/>
      <c r="H10" s="39"/>
      <c r="I10" s="41"/>
      <c r="J10" s="43"/>
      <c r="K10" s="42"/>
      <c r="L10" s="44"/>
      <c r="M10" s="42">
        <f t="shared" si="0"/>
        <v>0</v>
      </c>
      <c r="N10" s="42"/>
    </row>
    <row r="11" spans="1:16" s="6" customFormat="1" ht="17.25" customHeight="1">
      <c r="A11" s="90"/>
      <c r="B11" s="91"/>
      <c r="C11" s="100"/>
      <c r="D11" s="7"/>
      <c r="E11" s="125"/>
      <c r="F11" s="40"/>
      <c r="G11" s="40"/>
      <c r="H11" s="125"/>
      <c r="I11" s="93"/>
      <c r="J11" s="43"/>
      <c r="K11" s="42"/>
      <c r="L11" s="44"/>
      <c r="M11" s="42">
        <f t="shared" si="0"/>
        <v>0</v>
      </c>
      <c r="N11" s="42"/>
    </row>
    <row r="12" spans="1:16" s="6" customFormat="1" ht="17.25" customHeight="1">
      <c r="A12" s="90"/>
      <c r="B12" s="91"/>
      <c r="C12" s="100"/>
      <c r="D12" s="7"/>
      <c r="E12" s="125"/>
      <c r="F12" s="126"/>
      <c r="G12" s="126"/>
      <c r="H12" s="125"/>
      <c r="I12" s="93"/>
      <c r="J12" s="41"/>
      <c r="K12" s="42"/>
      <c r="L12" s="44"/>
      <c r="M12" s="42">
        <f t="shared" si="0"/>
        <v>0</v>
      </c>
      <c r="N12" s="42"/>
    </row>
    <row r="13" spans="1:16" s="6" customFormat="1" ht="17.25" customHeight="1">
      <c r="A13" s="90"/>
      <c r="B13" s="91"/>
      <c r="C13" s="100"/>
      <c r="D13" s="7"/>
      <c r="E13" s="125"/>
      <c r="F13" s="126"/>
      <c r="G13" s="126"/>
      <c r="H13" s="127"/>
      <c r="I13" s="93"/>
      <c r="J13" s="43"/>
      <c r="K13" s="42"/>
      <c r="L13" s="44"/>
      <c r="M13" s="42">
        <f t="shared" si="0"/>
        <v>0</v>
      </c>
      <c r="N13" s="42"/>
    </row>
    <row r="14" spans="1:16" s="6" customFormat="1" ht="17.25" customHeight="1">
      <c r="A14" s="90"/>
      <c r="B14" s="48"/>
      <c r="C14" s="100"/>
      <c r="D14" s="7"/>
      <c r="E14" s="39"/>
      <c r="F14" s="40"/>
      <c r="G14" s="40"/>
      <c r="H14" s="49"/>
      <c r="I14" s="41"/>
      <c r="J14" s="43"/>
      <c r="K14" s="42"/>
      <c r="L14" s="44"/>
      <c r="M14" s="42">
        <f t="shared" si="0"/>
        <v>0</v>
      </c>
      <c r="N14" s="42"/>
    </row>
    <row r="15" spans="1:16" s="6" customFormat="1" ht="15.75" customHeight="1">
      <c r="A15" s="1"/>
      <c r="B15" s="52"/>
      <c r="C15" s="53"/>
      <c r="D15" s="19"/>
      <c r="E15" s="53"/>
      <c r="F15" s="54"/>
      <c r="G15" s="54"/>
      <c r="H15" s="53"/>
      <c r="I15" s="55"/>
      <c r="J15" s="56"/>
      <c r="K15" s="50"/>
      <c r="L15" s="57"/>
      <c r="M15" s="156">
        <f t="shared" si="0"/>
        <v>0</v>
      </c>
      <c r="N15" s="42"/>
    </row>
    <row r="16" spans="1:16" s="6" customFormat="1" ht="15.75" customHeight="1">
      <c r="A16" s="276"/>
      <c r="B16" s="52"/>
      <c r="C16" s="53"/>
      <c r="D16" s="19"/>
      <c r="E16" s="53"/>
      <c r="F16" s="54"/>
      <c r="G16" s="54"/>
      <c r="H16" s="53"/>
      <c r="I16" s="55"/>
      <c r="J16" s="56"/>
      <c r="K16" s="50"/>
      <c r="L16" s="57"/>
      <c r="M16" s="156">
        <f t="shared" si="0"/>
        <v>0</v>
      </c>
      <c r="N16" s="42"/>
    </row>
    <row r="17" spans="1:14" ht="15.75" customHeight="1">
      <c r="A17" s="1"/>
      <c r="B17" s="52"/>
      <c r="C17" s="53"/>
      <c r="D17" s="19"/>
      <c r="E17" s="53"/>
      <c r="F17" s="54"/>
      <c r="G17" s="54"/>
      <c r="H17" s="53"/>
      <c r="I17" s="55"/>
      <c r="J17" s="56"/>
      <c r="K17" s="50"/>
      <c r="L17" s="57"/>
      <c r="M17" s="156">
        <f t="shared" si="0"/>
        <v>0</v>
      </c>
      <c r="N17" s="42"/>
    </row>
    <row r="18" spans="1:14" ht="15.75" customHeight="1">
      <c r="A18" s="276"/>
      <c r="B18" s="52"/>
      <c r="C18" s="53"/>
      <c r="D18" s="19"/>
      <c r="E18" s="53"/>
      <c r="F18" s="54"/>
      <c r="G18" s="54"/>
      <c r="H18" s="58"/>
      <c r="I18" s="55"/>
      <c r="J18" s="56"/>
      <c r="K18" s="50"/>
      <c r="L18" s="57"/>
      <c r="M18" s="156">
        <f t="shared" si="0"/>
        <v>0</v>
      </c>
      <c r="N18" s="42"/>
    </row>
    <row r="19" spans="1:14" ht="15.75" customHeight="1">
      <c r="A19" s="1"/>
      <c r="B19" s="52"/>
      <c r="C19" s="53"/>
      <c r="D19" s="19"/>
      <c r="E19" s="53"/>
      <c r="F19" s="54"/>
      <c r="G19" s="54"/>
      <c r="H19" s="53"/>
      <c r="I19" s="55"/>
      <c r="J19" s="56"/>
      <c r="K19" s="50"/>
      <c r="L19" s="57"/>
      <c r="M19" s="156">
        <f t="shared" si="0"/>
        <v>0</v>
      </c>
      <c r="N19" s="42"/>
    </row>
    <row r="20" spans="1:14" ht="15.75" customHeight="1">
      <c r="A20" s="213"/>
      <c r="B20" s="48"/>
      <c r="C20" s="39"/>
      <c r="D20" s="7"/>
      <c r="E20" s="39"/>
      <c r="F20" s="40"/>
      <c r="G20" s="40"/>
      <c r="H20" s="39"/>
      <c r="I20" s="41"/>
      <c r="J20" s="43"/>
      <c r="K20" s="42"/>
      <c r="L20" s="44"/>
      <c r="M20" s="156">
        <f t="shared" si="0"/>
        <v>0</v>
      </c>
      <c r="N20" s="42"/>
    </row>
    <row r="21" spans="1:14" ht="15.75" customHeight="1">
      <c r="A21" s="213"/>
      <c r="B21" s="46"/>
      <c r="C21" s="39"/>
      <c r="D21" s="60"/>
      <c r="E21" s="39"/>
      <c r="F21" s="40"/>
      <c r="G21" s="40"/>
      <c r="H21" s="39"/>
      <c r="I21" s="41"/>
      <c r="J21" s="43"/>
      <c r="K21" s="42"/>
      <c r="L21" s="44"/>
      <c r="M21" s="156">
        <f t="shared" si="0"/>
        <v>0</v>
      </c>
      <c r="N21" s="42"/>
    </row>
    <row r="22" spans="1:14" ht="15.75" customHeight="1">
      <c r="A22" s="90"/>
      <c r="B22" s="48"/>
      <c r="C22" s="39"/>
      <c r="D22" s="60"/>
      <c r="E22" s="39"/>
      <c r="F22" s="40"/>
      <c r="G22" s="40"/>
      <c r="H22" s="39"/>
      <c r="I22" s="41"/>
      <c r="J22" s="43"/>
      <c r="K22" s="42"/>
      <c r="L22" s="44"/>
      <c r="M22" s="156">
        <f t="shared" si="0"/>
        <v>0</v>
      </c>
      <c r="N22" s="42"/>
    </row>
    <row r="23" spans="1:14" ht="15.75" customHeight="1">
      <c r="A23" s="213"/>
      <c r="B23" s="46"/>
      <c r="C23" s="39"/>
      <c r="D23" s="7"/>
      <c r="E23" s="39"/>
      <c r="F23" s="40"/>
      <c r="G23" s="40"/>
      <c r="H23" s="39"/>
      <c r="I23" s="41"/>
      <c r="J23" s="43"/>
      <c r="K23" s="42"/>
      <c r="L23" s="42"/>
      <c r="M23" s="156">
        <f t="shared" si="0"/>
        <v>0</v>
      </c>
      <c r="N23" s="42"/>
    </row>
    <row r="24" spans="1:14" ht="15.75" customHeight="1">
      <c r="A24" s="1"/>
      <c r="B24" s="8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276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276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276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276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276"/>
      <c r="B29" s="62"/>
      <c r="C29" s="53"/>
      <c r="D29" s="63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276"/>
      <c r="B30" s="62"/>
      <c r="C30" s="53"/>
      <c r="D30" s="53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276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6">
        <f t="shared" si="0"/>
        <v>0</v>
      </c>
      <c r="N31" s="42"/>
    </row>
    <row r="32" spans="1:14">
      <c r="A32" s="276"/>
      <c r="B32" s="62"/>
      <c r="C32" s="53"/>
      <c r="D32" s="64"/>
      <c r="E32" s="53"/>
      <c r="F32" s="61"/>
      <c r="G32" s="61"/>
      <c r="H32" s="53"/>
      <c r="I32" s="55"/>
      <c r="J32" s="56"/>
      <c r="K32" s="50"/>
      <c r="L32" s="50"/>
      <c r="M32" s="156">
        <f t="shared" si="0"/>
        <v>0</v>
      </c>
      <c r="N32" s="42"/>
    </row>
    <row r="33" spans="1:14">
      <c r="A33" s="276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6">
        <f t="shared" si="0"/>
        <v>0</v>
      </c>
      <c r="N33" s="42"/>
    </row>
    <row r="34" spans="1:14">
      <c r="A34" s="276"/>
      <c r="B34" s="62"/>
      <c r="C34" s="53"/>
      <c r="D34" s="9"/>
      <c r="E34" s="53"/>
      <c r="F34" s="61"/>
      <c r="G34" s="61"/>
      <c r="H34" s="53"/>
      <c r="I34" s="55"/>
      <c r="J34" s="56"/>
      <c r="K34" s="50"/>
      <c r="L34" s="50"/>
      <c r="M34" s="156">
        <f t="shared" si="0"/>
        <v>0</v>
      </c>
      <c r="N34" s="42"/>
    </row>
    <row r="35" spans="1:14">
      <c r="A35" s="276"/>
      <c r="B35" s="62"/>
      <c r="C35" s="53"/>
      <c r="D35" s="36"/>
      <c r="E35" s="53"/>
      <c r="F35" s="61"/>
      <c r="G35" s="61"/>
      <c r="H35" s="53"/>
      <c r="I35" s="55"/>
      <c r="J35" s="56"/>
      <c r="K35" s="50"/>
      <c r="L35" s="50"/>
      <c r="M35" s="156">
        <f t="shared" si="0"/>
        <v>0</v>
      </c>
      <c r="N35" s="42"/>
    </row>
    <row r="36" spans="1:14">
      <c r="A36" s="276"/>
      <c r="B36" s="62"/>
      <c r="C36" s="53"/>
      <c r="D36" s="36"/>
      <c r="E36" s="53"/>
      <c r="F36" s="61"/>
      <c r="G36" s="61"/>
      <c r="H36" s="53"/>
      <c r="I36" s="55"/>
      <c r="J36" s="56"/>
      <c r="K36" s="50"/>
      <c r="L36" s="50"/>
      <c r="M36" s="156">
        <f t="shared" si="0"/>
        <v>0</v>
      </c>
      <c r="N36" s="42"/>
    </row>
    <row r="37" spans="1:14">
      <c r="A37" s="276"/>
      <c r="B37" s="62"/>
      <c r="C37" s="53"/>
      <c r="D37" s="63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4">
      <c r="A39" s="1"/>
      <c r="B39" s="18"/>
      <c r="C39" s="10"/>
      <c r="D39" s="19"/>
      <c r="E39" s="10"/>
      <c r="F39" s="61"/>
      <c r="G39" s="61"/>
      <c r="H39" s="10"/>
      <c r="I39" s="11"/>
      <c r="J39" s="13"/>
      <c r="K39" s="12"/>
      <c r="L39" s="12"/>
      <c r="M39" s="156">
        <f t="shared" si="0"/>
        <v>0</v>
      </c>
      <c r="N39" s="42"/>
    </row>
    <row r="40" spans="1:14">
      <c r="A40" s="277"/>
      <c r="B40" s="21"/>
      <c r="C40" s="22"/>
      <c r="D40" s="21"/>
      <c r="E40" s="21"/>
      <c r="F40" s="21"/>
      <c r="G40" s="21"/>
      <c r="H40" s="21"/>
      <c r="I40" s="23"/>
      <c r="J40" s="25"/>
      <c r="K40" s="24"/>
      <c r="L40" s="24"/>
      <c r="M40" s="24">
        <f>SUM(M2:M39)</f>
        <v>3390</v>
      </c>
      <c r="N40" s="361">
        <f>SUM(N2:N39)</f>
        <v>240</v>
      </c>
    </row>
    <row r="41" spans="1:14">
      <c r="A41" s="277"/>
      <c r="B41" s="21"/>
      <c r="C41" s="22"/>
      <c r="D41" s="21"/>
      <c r="E41" s="21"/>
      <c r="F41" s="21"/>
      <c r="G41" s="21"/>
      <c r="H41" s="21"/>
      <c r="I41" s="23"/>
      <c r="J41" s="25"/>
      <c r="K41" s="24"/>
      <c r="L41" s="24"/>
      <c r="M41" s="24"/>
      <c r="N41" s="290"/>
    </row>
    <row r="42" spans="1:14">
      <c r="A42" s="277"/>
      <c r="B42" s="21"/>
      <c r="C42" s="22"/>
      <c r="D42" s="21"/>
      <c r="E42" s="21"/>
      <c r="F42" s="21"/>
      <c r="G42" s="21"/>
      <c r="H42" s="21"/>
      <c r="I42" s="23"/>
      <c r="J42" s="25"/>
      <c r="K42" s="24"/>
      <c r="L42" s="24"/>
      <c r="M42" s="24"/>
      <c r="N42" s="290"/>
    </row>
    <row r="43" spans="1:14">
      <c r="A43" s="277"/>
      <c r="B43" s="21"/>
      <c r="C43" s="22"/>
      <c r="D43" s="21"/>
      <c r="E43" s="21"/>
      <c r="F43" s="21"/>
      <c r="G43" s="21"/>
      <c r="H43" s="21"/>
      <c r="J43" s="25"/>
      <c r="K43" s="24"/>
      <c r="L43" s="24"/>
      <c r="M43" s="26"/>
      <c r="N43" s="26"/>
    </row>
    <row r="44" spans="1:14">
      <c r="A44" s="277"/>
      <c r="B44" s="21"/>
      <c r="C44" s="22"/>
      <c r="D44" s="21"/>
      <c r="E44" s="21"/>
      <c r="F44" s="21"/>
      <c r="G44" s="21"/>
      <c r="H44" s="21"/>
      <c r="J44" s="25"/>
      <c r="K44" s="24"/>
      <c r="L44" s="24"/>
      <c r="M44" s="27"/>
    </row>
    <row r="45" spans="1:14">
      <c r="A45" s="277"/>
      <c r="B45" s="21"/>
      <c r="C45" s="22"/>
      <c r="D45" s="21"/>
      <c r="E45" s="21"/>
      <c r="F45" s="21"/>
      <c r="G45" s="21"/>
      <c r="H45" s="21"/>
      <c r="J45" s="25"/>
      <c r="K45" s="24"/>
      <c r="L45" s="24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  <row r="137" spans="3:3">
      <c r="C137" s="30"/>
    </row>
  </sheetData>
  <sortState xmlns:xlrd2="http://schemas.microsoft.com/office/spreadsheetml/2017/richdata2" ref="A2:N137">
    <sortCondition ref="B2:B137"/>
  </sortState>
  <phoneticPr fontId="1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F3E3-E89E-4901-BD99-57EB1016F422}">
  <dimension ref="A1:P134"/>
  <sheetViews>
    <sheetView topLeftCell="C1" zoomScale="70" zoomScaleNormal="70" workbookViewId="0">
      <selection activeCell="D5" sqref="D5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67" t="s">
        <v>17</v>
      </c>
      <c r="B1" s="68" t="s">
        <v>18</v>
      </c>
      <c r="C1" s="68" t="s">
        <v>54</v>
      </c>
      <c r="D1" s="69" t="s">
        <v>20</v>
      </c>
      <c r="E1" s="89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43" customFormat="1" ht="17.25" customHeight="1">
      <c r="A2" s="228" t="s">
        <v>434</v>
      </c>
      <c r="B2" s="229">
        <v>0.20833333333333334</v>
      </c>
      <c r="C2" s="139" t="s">
        <v>48</v>
      </c>
      <c r="D2" s="7" t="s">
        <v>335</v>
      </c>
      <c r="E2" s="126" t="s">
        <v>34</v>
      </c>
      <c r="F2" s="126">
        <v>0.20833333333333334</v>
      </c>
      <c r="G2" s="270">
        <v>0.23055555555555557</v>
      </c>
      <c r="H2" s="94"/>
      <c r="I2" s="191"/>
      <c r="J2" s="175" t="s">
        <v>105</v>
      </c>
      <c r="K2" s="176">
        <v>60</v>
      </c>
      <c r="L2" s="177">
        <v>400</v>
      </c>
      <c r="M2" s="42">
        <f t="shared" ref="M2:M38" si="0">SUM(K2:L2)</f>
        <v>460</v>
      </c>
      <c r="N2" s="42">
        <v>30</v>
      </c>
      <c r="O2" s="111"/>
    </row>
    <row r="3" spans="1:16" s="111" customFormat="1" ht="17.25" customHeight="1">
      <c r="A3" s="228" t="s">
        <v>435</v>
      </c>
      <c r="B3" s="229">
        <v>0.11458333333333333</v>
      </c>
      <c r="C3" s="139" t="s">
        <v>220</v>
      </c>
      <c r="D3" s="7" t="s">
        <v>335</v>
      </c>
      <c r="E3" s="125" t="s">
        <v>34</v>
      </c>
      <c r="F3" s="271">
        <v>0.11944444444444445</v>
      </c>
      <c r="G3" s="141">
        <v>0.14027777777777778</v>
      </c>
      <c r="H3" s="140"/>
      <c r="I3" s="142"/>
      <c r="J3" s="175" t="s">
        <v>436</v>
      </c>
      <c r="K3" s="137">
        <v>95</v>
      </c>
      <c r="L3" s="136">
        <v>400</v>
      </c>
      <c r="M3" s="156">
        <f t="shared" si="0"/>
        <v>495</v>
      </c>
      <c r="N3" s="42">
        <v>30</v>
      </c>
      <c r="P3" s="304"/>
    </row>
    <row r="4" spans="1:16" s="111" customFormat="1" ht="17.25" customHeight="1">
      <c r="A4" s="228" t="s">
        <v>437</v>
      </c>
      <c r="B4" s="229">
        <v>0.24305555555555555</v>
      </c>
      <c r="C4" s="139" t="s">
        <v>438</v>
      </c>
      <c r="D4" s="7" t="s">
        <v>335</v>
      </c>
      <c r="E4" s="125" t="s">
        <v>34</v>
      </c>
      <c r="F4" s="271">
        <v>0.28125</v>
      </c>
      <c r="G4" s="141">
        <v>0.30555555555555558</v>
      </c>
      <c r="H4" s="140"/>
      <c r="I4" s="142"/>
      <c r="J4" s="175" t="s">
        <v>436</v>
      </c>
      <c r="K4" s="137">
        <v>95</v>
      </c>
      <c r="L4" s="136">
        <v>400</v>
      </c>
      <c r="M4" s="156">
        <f t="shared" si="0"/>
        <v>495</v>
      </c>
      <c r="N4" s="42">
        <v>30</v>
      </c>
      <c r="P4" s="304"/>
    </row>
    <row r="5" spans="1:16" s="111" customFormat="1" ht="17.25" customHeight="1">
      <c r="A5" s="228" t="s">
        <v>437</v>
      </c>
      <c r="B5" s="229">
        <v>0.24305555555555555</v>
      </c>
      <c r="C5" s="139" t="s">
        <v>438</v>
      </c>
      <c r="D5" s="7" t="s">
        <v>335</v>
      </c>
      <c r="E5" s="125" t="s">
        <v>34</v>
      </c>
      <c r="F5" s="271">
        <v>0.28125</v>
      </c>
      <c r="G5" s="141">
        <v>0.30555555555555558</v>
      </c>
      <c r="H5" s="140"/>
      <c r="I5" s="142"/>
      <c r="J5" s="175" t="s">
        <v>436</v>
      </c>
      <c r="K5" s="137">
        <v>95</v>
      </c>
      <c r="L5" s="136">
        <v>400</v>
      </c>
      <c r="M5" s="156">
        <f t="shared" ref="M5" si="1">SUM(K5:L5)</f>
        <v>495</v>
      </c>
      <c r="N5" s="42">
        <v>30</v>
      </c>
      <c r="P5" s="304"/>
    </row>
    <row r="6" spans="1:16" s="111" customFormat="1" ht="17.25" customHeight="1">
      <c r="A6" s="228" t="s">
        <v>437</v>
      </c>
      <c r="B6" s="229">
        <v>0.24305555555555555</v>
      </c>
      <c r="C6" s="139" t="s">
        <v>438</v>
      </c>
      <c r="D6" s="7" t="s">
        <v>439</v>
      </c>
      <c r="E6" s="125" t="s">
        <v>34</v>
      </c>
      <c r="F6" s="271">
        <v>0.28125</v>
      </c>
      <c r="G6" s="141">
        <v>0.30555555555555558</v>
      </c>
      <c r="H6" s="140"/>
      <c r="I6" s="142"/>
      <c r="J6" s="175" t="s">
        <v>436</v>
      </c>
      <c r="K6" s="137">
        <v>95</v>
      </c>
      <c r="L6" s="136">
        <v>400</v>
      </c>
      <c r="M6" s="156">
        <f t="shared" ref="M6" si="2">SUM(K6:L6)</f>
        <v>495</v>
      </c>
      <c r="N6" s="42">
        <v>30</v>
      </c>
      <c r="P6" s="304"/>
    </row>
    <row r="7" spans="1:16" s="6" customFormat="1" ht="17.25" customHeight="1">
      <c r="A7" s="47" t="s">
        <v>440</v>
      </c>
      <c r="B7" s="48">
        <v>0.40625</v>
      </c>
      <c r="C7" s="39" t="s">
        <v>64</v>
      </c>
      <c r="D7" s="7" t="s">
        <v>441</v>
      </c>
      <c r="E7" s="39" t="s">
        <v>34</v>
      </c>
      <c r="F7" s="40">
        <v>0.41666666666666669</v>
      </c>
      <c r="G7" s="40">
        <v>0.44097222222222221</v>
      </c>
      <c r="H7" s="39"/>
      <c r="I7" s="41"/>
      <c r="J7" s="43" t="s">
        <v>40</v>
      </c>
      <c r="K7" s="42">
        <v>35</v>
      </c>
      <c r="L7" s="44">
        <v>400</v>
      </c>
      <c r="M7" s="42">
        <f t="shared" si="0"/>
        <v>435</v>
      </c>
      <c r="N7" s="42">
        <v>30</v>
      </c>
    </row>
    <row r="8" spans="1:16" ht="17.25" customHeight="1">
      <c r="A8" s="47" t="s">
        <v>442</v>
      </c>
      <c r="B8" s="48">
        <v>0.42708333333333331</v>
      </c>
      <c r="C8" s="39" t="s">
        <v>48</v>
      </c>
      <c r="D8" s="7" t="s">
        <v>335</v>
      </c>
      <c r="E8" s="39" t="s">
        <v>34</v>
      </c>
      <c r="F8" s="40">
        <v>0.42777777777777776</v>
      </c>
      <c r="G8" s="40">
        <v>0.44722222222222224</v>
      </c>
      <c r="H8" s="39"/>
      <c r="I8" s="41"/>
      <c r="J8" s="123"/>
      <c r="K8" s="42"/>
      <c r="L8" s="44">
        <v>400</v>
      </c>
      <c r="M8" s="42">
        <f t="shared" si="0"/>
        <v>400</v>
      </c>
      <c r="N8" s="42">
        <v>30</v>
      </c>
    </row>
    <row r="9" spans="1:16" s="6" customFormat="1" ht="17.25" customHeight="1">
      <c r="A9" s="124" t="s">
        <v>443</v>
      </c>
      <c r="B9" s="48">
        <v>0.375</v>
      </c>
      <c r="C9" s="39" t="s">
        <v>444</v>
      </c>
      <c r="D9" s="7" t="s">
        <v>445</v>
      </c>
      <c r="E9" s="39" t="s">
        <v>34</v>
      </c>
      <c r="F9" s="40">
        <v>0.375</v>
      </c>
      <c r="G9" s="40">
        <v>0.68888888888888888</v>
      </c>
      <c r="H9" s="39"/>
      <c r="I9" s="41"/>
      <c r="J9" s="41" t="s">
        <v>446</v>
      </c>
      <c r="K9" s="42">
        <v>50</v>
      </c>
      <c r="L9" s="44">
        <v>2800</v>
      </c>
      <c r="M9" s="42">
        <f t="shared" si="0"/>
        <v>2850</v>
      </c>
      <c r="N9" s="42">
        <v>30</v>
      </c>
    </row>
    <row r="10" spans="1:16" ht="17.25" customHeight="1">
      <c r="A10" s="364" t="s">
        <v>447</v>
      </c>
      <c r="B10" s="48">
        <v>0.98611111111111116</v>
      </c>
      <c r="C10" s="39" t="s">
        <v>104</v>
      </c>
      <c r="D10" s="19" t="s">
        <v>335</v>
      </c>
      <c r="E10" s="39" t="s">
        <v>34</v>
      </c>
      <c r="F10" s="40">
        <v>0.98958333333333337</v>
      </c>
      <c r="G10" s="40">
        <v>1.0416666666666666E-2</v>
      </c>
      <c r="H10" s="39"/>
      <c r="I10" s="41"/>
      <c r="J10" s="43"/>
      <c r="K10" s="42"/>
      <c r="L10" s="44">
        <v>400</v>
      </c>
      <c r="M10" s="156">
        <f t="shared" si="0"/>
        <v>400</v>
      </c>
      <c r="N10" s="42">
        <v>30</v>
      </c>
    </row>
    <row r="11" spans="1:16">
      <c r="A11" s="45"/>
      <c r="B11" s="46"/>
      <c r="C11" s="39"/>
      <c r="D11" s="60"/>
      <c r="E11" s="39"/>
      <c r="F11" s="40"/>
      <c r="G11" s="40"/>
      <c r="H11" s="39"/>
      <c r="I11" s="41"/>
      <c r="J11" s="43"/>
      <c r="K11" s="42"/>
      <c r="L11" s="44"/>
      <c r="M11" s="156">
        <f t="shared" si="0"/>
        <v>0</v>
      </c>
      <c r="N11" s="42"/>
    </row>
    <row r="12" spans="1:16">
      <c r="A12" s="47"/>
      <c r="B12" s="48"/>
      <c r="C12" s="39"/>
      <c r="D12" s="60"/>
      <c r="E12" s="39"/>
      <c r="F12" s="40"/>
      <c r="G12" s="40"/>
      <c r="H12" s="39"/>
      <c r="I12" s="41"/>
      <c r="J12" s="43"/>
      <c r="K12" s="42"/>
      <c r="L12" s="44"/>
      <c r="M12" s="156">
        <f t="shared" si="0"/>
        <v>0</v>
      </c>
      <c r="N12" s="42"/>
    </row>
    <row r="13" spans="1:16">
      <c r="A13" s="45"/>
      <c r="B13" s="46"/>
      <c r="C13" s="39"/>
      <c r="D13" s="7"/>
      <c r="E13" s="39"/>
      <c r="F13" s="40"/>
      <c r="G13" s="40"/>
      <c r="H13" s="39"/>
      <c r="I13" s="41"/>
      <c r="J13" s="43"/>
      <c r="K13" s="42"/>
      <c r="L13" s="42"/>
      <c r="M13" s="156">
        <f t="shared" si="0"/>
        <v>0</v>
      </c>
      <c r="N13" s="42"/>
    </row>
    <row r="14" spans="1:16">
      <c r="A14" s="59"/>
      <c r="B14" s="52"/>
      <c r="C14" s="53"/>
      <c r="D14" s="19"/>
      <c r="E14" s="53"/>
      <c r="F14" s="61"/>
      <c r="G14" s="61"/>
      <c r="H14" s="53"/>
      <c r="I14" s="55"/>
      <c r="J14" s="56"/>
      <c r="K14" s="50"/>
      <c r="L14" s="50"/>
      <c r="M14" s="156">
        <f t="shared" si="0"/>
        <v>0</v>
      </c>
      <c r="N14" s="42"/>
    </row>
    <row r="15" spans="1:16">
      <c r="A15" s="59"/>
      <c r="B15" s="52"/>
      <c r="C15" s="53"/>
      <c r="D15" s="7"/>
      <c r="E15" s="53"/>
      <c r="F15" s="54"/>
      <c r="G15" s="54"/>
      <c r="H15" s="175"/>
      <c r="I15" s="55"/>
      <c r="J15" s="56"/>
      <c r="K15" s="50"/>
      <c r="L15" s="57"/>
      <c r="M15" s="156">
        <f t="shared" si="0"/>
        <v>0</v>
      </c>
      <c r="N15" s="42"/>
    </row>
    <row r="16" spans="1:16">
      <c r="A16" s="124"/>
      <c r="B16" s="48"/>
      <c r="C16" s="39"/>
      <c r="D16" s="19"/>
      <c r="E16" s="53"/>
      <c r="F16" s="54"/>
      <c r="G16" s="54"/>
      <c r="H16" s="58"/>
      <c r="I16" s="55"/>
      <c r="J16" s="56"/>
      <c r="K16" s="50"/>
      <c r="L16" s="57"/>
      <c r="M16" s="156">
        <f t="shared" si="0"/>
        <v>0</v>
      </c>
      <c r="N16" s="42"/>
    </row>
    <row r="17" spans="1:14">
      <c r="A17" s="124"/>
      <c r="B17" s="48"/>
      <c r="C17" s="39"/>
      <c r="D17" s="7"/>
      <c r="E17" s="53"/>
      <c r="F17" s="61"/>
      <c r="G17" s="61"/>
      <c r="H17" s="53"/>
      <c r="I17" s="55"/>
      <c r="J17" s="56"/>
      <c r="K17" s="50"/>
      <c r="L17" s="50"/>
      <c r="M17" s="156">
        <f t="shared" si="0"/>
        <v>0</v>
      </c>
      <c r="N17" s="42"/>
    </row>
    <row r="18" spans="1:14">
      <c r="A18" s="124"/>
      <c r="B18" s="48"/>
      <c r="C18" s="39"/>
      <c r="D18" s="19"/>
      <c r="E18" s="53"/>
      <c r="F18" s="54"/>
      <c r="G18" s="54"/>
      <c r="H18" s="58"/>
      <c r="I18" s="55"/>
      <c r="J18" s="56"/>
      <c r="K18" s="50"/>
      <c r="L18" s="57"/>
      <c r="M18" s="156">
        <f t="shared" si="0"/>
        <v>0</v>
      </c>
      <c r="N18" s="42"/>
    </row>
    <row r="19" spans="1:14">
      <c r="A19" s="59"/>
      <c r="B19" s="52"/>
      <c r="C19" s="53"/>
      <c r="E19" s="53"/>
      <c r="F19" s="54"/>
      <c r="G19" s="54"/>
      <c r="H19" s="175"/>
      <c r="I19" s="55"/>
      <c r="J19" s="56"/>
      <c r="K19" s="50"/>
      <c r="L19" s="57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6525</v>
      </c>
      <c r="N40" s="26">
        <f>SUM(N2:N39)</f>
        <v>270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858D-30A6-4259-B68A-542AEF4BEAE5}">
  <dimension ref="A1:N136"/>
  <sheetViews>
    <sheetView topLeftCell="C1" zoomScale="70" zoomScaleNormal="70" workbookViewId="0">
      <selection activeCell="C24" sqref="C24"/>
    </sheetView>
  </sheetViews>
  <sheetFormatPr defaultColWidth="8.75" defaultRowHeight="15"/>
  <cols>
    <col min="1" max="1" width="9.5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3" t="s">
        <v>28</v>
      </c>
      <c r="M1" s="3" t="s">
        <v>29</v>
      </c>
      <c r="N1" s="3" t="s">
        <v>30</v>
      </c>
    </row>
    <row r="2" spans="1:14" s="111" customFormat="1" ht="17.25" customHeight="1">
      <c r="A2" s="228" t="s">
        <v>448</v>
      </c>
      <c r="B2" s="229">
        <v>2.7777777777777776E-2</v>
      </c>
      <c r="C2" s="139" t="s">
        <v>449</v>
      </c>
      <c r="D2" s="7" t="s">
        <v>335</v>
      </c>
      <c r="E2" s="7" t="s">
        <v>34</v>
      </c>
      <c r="F2" s="126">
        <v>5.5555555555555552E-2</v>
      </c>
      <c r="G2" s="126">
        <v>7.4999999999999997E-2</v>
      </c>
      <c r="H2" s="7"/>
      <c r="I2" s="93"/>
      <c r="J2" s="175" t="s">
        <v>450</v>
      </c>
      <c r="K2" s="193">
        <v>95</v>
      </c>
      <c r="L2" s="176">
        <v>400</v>
      </c>
      <c r="M2" s="42">
        <f t="shared" ref="M2:M38" si="0">SUM(K2:L2)</f>
        <v>495</v>
      </c>
      <c r="N2" s="42">
        <v>30</v>
      </c>
    </row>
    <row r="3" spans="1:14" s="111" customFormat="1" ht="17.25" customHeight="1">
      <c r="A3" s="228" t="s">
        <v>448</v>
      </c>
      <c r="B3" s="229">
        <v>2.7777777777777776E-2</v>
      </c>
      <c r="C3" s="139" t="s">
        <v>449</v>
      </c>
      <c r="D3" s="7" t="s">
        <v>451</v>
      </c>
      <c r="E3" s="7" t="s">
        <v>34</v>
      </c>
      <c r="F3" s="126">
        <v>5.5555555555555552E-2</v>
      </c>
      <c r="G3" s="126">
        <v>7.4999999999999997E-2</v>
      </c>
      <c r="H3" s="7"/>
      <c r="I3" s="93"/>
      <c r="J3" s="175" t="s">
        <v>450</v>
      </c>
      <c r="K3" s="193">
        <v>95</v>
      </c>
      <c r="L3" s="176">
        <v>400</v>
      </c>
      <c r="M3" s="42">
        <f t="shared" ref="M3" si="1">SUM(K3:L3)</f>
        <v>495</v>
      </c>
      <c r="N3" s="42">
        <v>30</v>
      </c>
    </row>
    <row r="4" spans="1:14" s="111" customFormat="1" ht="17.25" customHeight="1">
      <c r="A4" s="228" t="s">
        <v>452</v>
      </c>
      <c r="B4" s="229">
        <v>7.6388888888888895E-2</v>
      </c>
      <c r="C4" s="139" t="s">
        <v>102</v>
      </c>
      <c r="D4" s="7" t="s">
        <v>214</v>
      </c>
      <c r="E4" s="125" t="s">
        <v>34</v>
      </c>
      <c r="F4" s="126">
        <v>8.7499999999999994E-2</v>
      </c>
      <c r="G4" s="126">
        <v>0.1076388888888889</v>
      </c>
      <c r="H4" s="125"/>
      <c r="I4" s="93"/>
      <c r="J4" s="175" t="s">
        <v>450</v>
      </c>
      <c r="K4" s="193">
        <v>95</v>
      </c>
      <c r="L4" s="176">
        <v>400</v>
      </c>
      <c r="M4" s="42">
        <f t="shared" si="0"/>
        <v>495</v>
      </c>
      <c r="N4" s="42">
        <v>30</v>
      </c>
    </row>
    <row r="5" spans="1:14" s="111" customFormat="1" ht="17.25" customHeight="1">
      <c r="A5" s="228" t="s">
        <v>452</v>
      </c>
      <c r="B5" s="229">
        <v>7.6388888888888895E-2</v>
      </c>
      <c r="C5" s="139" t="s">
        <v>102</v>
      </c>
      <c r="D5" s="7" t="s">
        <v>453</v>
      </c>
      <c r="E5" s="125" t="s">
        <v>34</v>
      </c>
      <c r="F5" s="126">
        <v>8.7499999999999994E-2</v>
      </c>
      <c r="G5" s="126">
        <v>0.1076388888888889</v>
      </c>
      <c r="H5" s="125"/>
      <c r="I5" s="93"/>
      <c r="J5" s="175" t="s">
        <v>450</v>
      </c>
      <c r="K5" s="193">
        <v>95</v>
      </c>
      <c r="L5" s="176">
        <v>400</v>
      </c>
      <c r="M5" s="42">
        <f t="shared" ref="M5" si="2">SUM(K5:L5)</f>
        <v>495</v>
      </c>
      <c r="N5" s="42">
        <v>30</v>
      </c>
    </row>
    <row r="6" spans="1:14" s="111" customFormat="1" ht="17.25" customHeight="1">
      <c r="A6" s="305" t="s">
        <v>454</v>
      </c>
      <c r="B6" s="306">
        <v>0.10416666666666667</v>
      </c>
      <c r="C6" s="307" t="s">
        <v>104</v>
      </c>
      <c r="D6" s="280" t="s">
        <v>455</v>
      </c>
      <c r="E6" s="100" t="s">
        <v>34</v>
      </c>
      <c r="F6" s="99">
        <v>0.10416666666666667</v>
      </c>
      <c r="G6" s="99">
        <v>0.125</v>
      </c>
      <c r="H6" s="100"/>
      <c r="I6" s="192"/>
      <c r="J6" s="175" t="s">
        <v>105</v>
      </c>
      <c r="K6" s="193">
        <v>60</v>
      </c>
      <c r="L6" s="176">
        <v>400</v>
      </c>
      <c r="M6" s="156">
        <f t="shared" si="0"/>
        <v>460</v>
      </c>
      <c r="N6" s="42">
        <v>30</v>
      </c>
    </row>
    <row r="7" spans="1:14" s="111" customFormat="1" ht="17.25" customHeight="1">
      <c r="A7" s="45" t="s">
        <v>456</v>
      </c>
      <c r="B7" s="46">
        <v>4.8611111111111112E-2</v>
      </c>
      <c r="C7" s="39" t="s">
        <v>104</v>
      </c>
      <c r="D7" s="95" t="s">
        <v>151</v>
      </c>
      <c r="E7" s="39" t="s">
        <v>34</v>
      </c>
      <c r="F7" s="40">
        <v>0.16111111111111112</v>
      </c>
      <c r="G7" s="40">
        <v>0.17916666666666667</v>
      </c>
      <c r="H7" s="39"/>
      <c r="I7" s="41"/>
      <c r="J7" s="41" t="s">
        <v>457</v>
      </c>
      <c r="K7" s="193">
        <v>510</v>
      </c>
      <c r="L7" s="176">
        <v>400</v>
      </c>
      <c r="M7" s="42">
        <f t="shared" si="0"/>
        <v>910</v>
      </c>
      <c r="N7" s="42">
        <v>30</v>
      </c>
    </row>
    <row r="8" spans="1:14" s="111" customFormat="1" ht="17.25" customHeight="1">
      <c r="A8" s="45" t="s">
        <v>458</v>
      </c>
      <c r="B8" s="46">
        <v>0.20833333333333334</v>
      </c>
      <c r="C8" s="39" t="s">
        <v>459</v>
      </c>
      <c r="D8" s="7" t="s">
        <v>337</v>
      </c>
      <c r="E8" s="39" t="s">
        <v>34</v>
      </c>
      <c r="F8" s="40">
        <v>0.21875</v>
      </c>
      <c r="G8" s="40">
        <v>0.23958333333333334</v>
      </c>
      <c r="H8" s="39"/>
      <c r="I8" s="41"/>
      <c r="J8" s="41" t="s">
        <v>450</v>
      </c>
      <c r="K8" s="193">
        <v>95</v>
      </c>
      <c r="L8" s="176">
        <v>400</v>
      </c>
      <c r="M8" s="42">
        <f t="shared" si="0"/>
        <v>495</v>
      </c>
      <c r="N8" s="42">
        <v>30</v>
      </c>
    </row>
    <row r="9" spans="1:14" s="111" customFormat="1" ht="17.25" customHeight="1">
      <c r="A9" s="45" t="s">
        <v>460</v>
      </c>
      <c r="B9" s="46">
        <v>0.54513888888888884</v>
      </c>
      <c r="C9" s="39" t="s">
        <v>461</v>
      </c>
      <c r="D9" s="7" t="s">
        <v>462</v>
      </c>
      <c r="E9" s="39" t="s">
        <v>34</v>
      </c>
      <c r="F9" s="40">
        <v>0.60138888888888886</v>
      </c>
      <c r="G9" s="40">
        <v>0.62569444444444444</v>
      </c>
      <c r="H9" s="49"/>
      <c r="I9" s="41"/>
      <c r="J9" s="43" t="s">
        <v>463</v>
      </c>
      <c r="K9" s="193">
        <v>195</v>
      </c>
      <c r="L9" s="176">
        <v>400</v>
      </c>
      <c r="M9" s="42">
        <f t="shared" si="0"/>
        <v>595</v>
      </c>
      <c r="N9" s="42">
        <v>30</v>
      </c>
    </row>
    <row r="10" spans="1:14" s="111" customFormat="1" ht="17.25" customHeight="1">
      <c r="A10" s="45" t="s">
        <v>460</v>
      </c>
      <c r="B10" s="46">
        <v>0.54513888888888884</v>
      </c>
      <c r="C10" s="39" t="s">
        <v>461</v>
      </c>
      <c r="D10" s="7" t="s">
        <v>464</v>
      </c>
      <c r="E10" s="39" t="s">
        <v>34</v>
      </c>
      <c r="F10" s="40">
        <v>0.60138888888888886</v>
      </c>
      <c r="G10" s="40">
        <v>0.62569444444444444</v>
      </c>
      <c r="H10" s="49"/>
      <c r="I10" s="41"/>
      <c r="J10" s="43" t="s">
        <v>465</v>
      </c>
      <c r="K10" s="193">
        <v>35</v>
      </c>
      <c r="L10" s="176">
        <v>400</v>
      </c>
      <c r="M10" s="42">
        <f t="shared" ref="M10" si="3">SUM(K10:L10)</f>
        <v>435</v>
      </c>
      <c r="N10" s="42">
        <v>30</v>
      </c>
    </row>
    <row r="11" spans="1:14" ht="17.25" customHeight="1">
      <c r="A11" s="51" t="s">
        <v>466</v>
      </c>
      <c r="B11" s="52">
        <v>0.60416666666666663</v>
      </c>
      <c r="C11" s="39" t="s">
        <v>467</v>
      </c>
      <c r="D11" s="7" t="s">
        <v>51</v>
      </c>
      <c r="E11" s="53" t="s">
        <v>34</v>
      </c>
      <c r="F11" s="54">
        <v>0.60833333333333328</v>
      </c>
      <c r="G11" s="54">
        <v>0.63541666666666663</v>
      </c>
      <c r="H11" s="53"/>
      <c r="I11" s="55"/>
      <c r="J11" s="56"/>
      <c r="K11" s="50"/>
      <c r="L11" s="50">
        <v>400</v>
      </c>
      <c r="M11" s="156">
        <f t="shared" si="0"/>
        <v>400</v>
      </c>
      <c r="N11" s="42">
        <v>30</v>
      </c>
    </row>
    <row r="12" spans="1:14" ht="17.25" customHeight="1">
      <c r="A12" s="315" t="s">
        <v>468</v>
      </c>
      <c r="B12" s="52">
        <v>0.77777777777777779</v>
      </c>
      <c r="C12" s="164" t="s">
        <v>48</v>
      </c>
      <c r="D12" s="19" t="s">
        <v>51</v>
      </c>
      <c r="E12" s="53" t="s">
        <v>34</v>
      </c>
      <c r="F12" s="54">
        <v>0.78055555555555556</v>
      </c>
      <c r="G12" s="54">
        <v>0.8</v>
      </c>
      <c r="H12" s="53"/>
      <c r="I12" s="55"/>
      <c r="J12" s="56"/>
      <c r="K12" s="50"/>
      <c r="L12" s="50">
        <v>400</v>
      </c>
      <c r="M12" s="156">
        <f t="shared" si="0"/>
        <v>400</v>
      </c>
      <c r="N12" s="42">
        <v>30</v>
      </c>
    </row>
    <row r="13" spans="1:14" s="6" customFormat="1" ht="17.25" customHeight="1">
      <c r="A13" s="51" t="s">
        <v>469</v>
      </c>
      <c r="B13" s="52">
        <v>0.77083333333333337</v>
      </c>
      <c r="C13" s="53" t="s">
        <v>64</v>
      </c>
      <c r="D13" s="19" t="s">
        <v>470</v>
      </c>
      <c r="E13" s="53" t="s">
        <v>34</v>
      </c>
      <c r="F13" s="54">
        <v>0.79513888888888884</v>
      </c>
      <c r="G13" s="54">
        <v>0.82291666666666663</v>
      </c>
      <c r="H13" s="58"/>
      <c r="I13" s="55"/>
      <c r="J13" s="160" t="s">
        <v>40</v>
      </c>
      <c r="K13" s="50">
        <v>35</v>
      </c>
      <c r="L13" s="50">
        <v>400</v>
      </c>
      <c r="M13" s="156">
        <f t="shared" si="0"/>
        <v>435</v>
      </c>
      <c r="N13" s="42">
        <v>30</v>
      </c>
    </row>
    <row r="14" spans="1:14">
      <c r="A14" s="59" t="s">
        <v>471</v>
      </c>
      <c r="B14" s="52">
        <v>0.73958333333333337</v>
      </c>
      <c r="C14" s="53" t="s">
        <v>472</v>
      </c>
      <c r="D14" s="19" t="s">
        <v>473</v>
      </c>
      <c r="E14" s="53" t="s">
        <v>34</v>
      </c>
      <c r="F14" s="54">
        <v>0.78749999999999998</v>
      </c>
      <c r="G14" s="54">
        <v>0.81666666666666665</v>
      </c>
      <c r="H14" s="53"/>
      <c r="I14" s="55"/>
      <c r="J14" s="56" t="s">
        <v>474</v>
      </c>
      <c r="K14" s="50">
        <v>235</v>
      </c>
      <c r="L14" s="50">
        <v>400</v>
      </c>
      <c r="M14" s="156">
        <f t="shared" si="0"/>
        <v>635</v>
      </c>
      <c r="N14" s="42">
        <v>30</v>
      </c>
    </row>
    <row r="15" spans="1:14">
      <c r="A15" s="45" t="s">
        <v>475</v>
      </c>
      <c r="B15" s="48">
        <v>0.54166666666666663</v>
      </c>
      <c r="C15" s="39" t="s">
        <v>476</v>
      </c>
      <c r="D15" s="7" t="s">
        <v>335</v>
      </c>
      <c r="E15" s="39" t="s">
        <v>34</v>
      </c>
      <c r="F15" s="40">
        <v>0.54166666666666663</v>
      </c>
      <c r="G15" s="40">
        <v>0.94861111111111107</v>
      </c>
      <c r="H15" s="39"/>
      <c r="I15" s="41"/>
      <c r="J15" s="43" t="s">
        <v>477</v>
      </c>
      <c r="K15" s="42">
        <v>40</v>
      </c>
      <c r="L15" s="42">
        <v>2300</v>
      </c>
      <c r="M15" s="156">
        <f t="shared" si="0"/>
        <v>2340</v>
      </c>
      <c r="N15" s="42">
        <v>30</v>
      </c>
    </row>
    <row r="16" spans="1:14">
      <c r="A16" s="45"/>
      <c r="B16" s="46"/>
      <c r="C16" s="39"/>
      <c r="D16" s="60"/>
      <c r="E16" s="39"/>
      <c r="F16" s="40"/>
      <c r="G16" s="40"/>
      <c r="H16" s="39"/>
      <c r="I16" s="41"/>
      <c r="J16" s="43"/>
      <c r="K16" s="42"/>
      <c r="L16" s="42"/>
      <c r="M16" s="156">
        <f t="shared" si="0"/>
        <v>0</v>
      </c>
      <c r="N16" s="42"/>
    </row>
    <row r="17" spans="1:14">
      <c r="A17" s="47"/>
      <c r="B17" s="48"/>
      <c r="C17" s="39"/>
      <c r="D17" s="60"/>
      <c r="E17" s="39"/>
      <c r="F17" s="40"/>
      <c r="G17" s="40"/>
      <c r="H17" s="39"/>
      <c r="I17" s="41"/>
      <c r="J17" s="43"/>
      <c r="K17" s="42"/>
      <c r="L17" s="42"/>
      <c r="M17" s="156">
        <f t="shared" si="0"/>
        <v>0</v>
      </c>
      <c r="N17" s="42"/>
    </row>
    <row r="18" spans="1:14">
      <c r="A18" s="45"/>
      <c r="B18" s="46"/>
      <c r="C18" s="39"/>
      <c r="D18" s="7"/>
      <c r="E18" s="39"/>
      <c r="F18" s="40"/>
      <c r="G18" s="40"/>
      <c r="H18" s="39"/>
      <c r="I18" s="41"/>
      <c r="J18" s="43"/>
      <c r="K18" s="42"/>
      <c r="L18" s="42"/>
      <c r="M18" s="156">
        <f t="shared" si="0"/>
        <v>0</v>
      </c>
      <c r="N18" s="42"/>
    </row>
    <row r="19" spans="1:14">
      <c r="A19" s="1"/>
      <c r="B19" s="8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63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53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51"/>
      <c r="B30" s="62"/>
      <c r="C30" s="53"/>
      <c r="D30" s="64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6">
        <f t="shared" si="0"/>
        <v>0</v>
      </c>
      <c r="N31" s="42"/>
    </row>
    <row r="32" spans="1:14">
      <c r="A32" s="51"/>
      <c r="B32" s="62"/>
      <c r="C32" s="53"/>
      <c r="D32" s="9"/>
      <c r="E32" s="53"/>
      <c r="F32" s="61"/>
      <c r="G32" s="61"/>
      <c r="H32" s="53"/>
      <c r="I32" s="55"/>
      <c r="J32" s="56"/>
      <c r="K32" s="50"/>
      <c r="L32" s="50"/>
      <c r="M32" s="156">
        <f t="shared" si="0"/>
        <v>0</v>
      </c>
      <c r="N32" s="42"/>
    </row>
    <row r="33" spans="1:14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6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156">
        <f t="shared" si="0"/>
        <v>0</v>
      </c>
      <c r="N34" s="42"/>
    </row>
    <row r="35" spans="1:14">
      <c r="A35" s="51"/>
      <c r="B35" s="62"/>
      <c r="C35" s="53"/>
      <c r="D35" s="63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4"/>
      <c r="B38" s="15"/>
      <c r="C38" s="10"/>
      <c r="D38" s="16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4">
      <c r="A39" s="75"/>
      <c r="B39" s="76"/>
      <c r="C39" s="77"/>
      <c r="D39" s="106"/>
      <c r="E39" s="77"/>
      <c r="F39" s="78"/>
      <c r="G39" s="78"/>
      <c r="H39" s="77"/>
      <c r="I39" s="79"/>
      <c r="J39" s="81"/>
      <c r="K39" s="80"/>
      <c r="L39" s="80"/>
      <c r="M39" s="74"/>
      <c r="N39" s="290"/>
    </row>
    <row r="40" spans="1:14" ht="15.75" thickBot="1">
      <c r="A40" s="82"/>
      <c r="B40" s="83"/>
      <c r="C40" s="77"/>
      <c r="D40" s="84"/>
      <c r="E40" s="77"/>
      <c r="F40" s="78"/>
      <c r="G40" s="78"/>
      <c r="H40" s="77"/>
      <c r="I40" s="79"/>
      <c r="J40" s="81"/>
      <c r="K40" s="80"/>
      <c r="L40" s="80"/>
      <c r="M40" s="415">
        <f>SUM(M2:M39)</f>
        <v>9085</v>
      </c>
      <c r="N40" s="416">
        <f>SUM(N2:N39)</f>
        <v>420</v>
      </c>
    </row>
    <row r="41" spans="1:14" ht="15.75" thickTop="1">
      <c r="A41" s="20"/>
      <c r="B41" s="21"/>
      <c r="C41" s="22"/>
      <c r="D41" s="21"/>
      <c r="E41" s="21"/>
      <c r="F41" s="21"/>
      <c r="G41" s="21"/>
      <c r="H41" s="21"/>
      <c r="I41" s="23"/>
      <c r="J41" s="25"/>
      <c r="K41" s="24"/>
      <c r="L41" s="24"/>
      <c r="M41" s="24"/>
      <c r="N41" s="290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  <c r="M42" s="414"/>
      <c r="N42" s="414"/>
    </row>
    <row r="43" spans="1:14">
      <c r="A43" s="20"/>
      <c r="B43" s="21"/>
      <c r="C43" s="22"/>
      <c r="D43" s="21"/>
      <c r="E43" s="21"/>
      <c r="F43" s="21"/>
      <c r="G43" s="21"/>
      <c r="H43" s="21"/>
      <c r="J43" s="25"/>
      <c r="K43" s="24"/>
      <c r="L43" s="24"/>
      <c r="M43" s="27"/>
    </row>
    <row r="44" spans="1:14">
      <c r="A44" s="20"/>
      <c r="B44" s="21"/>
      <c r="C44" s="22"/>
      <c r="D44" s="21"/>
      <c r="E44" s="21"/>
      <c r="F44" s="21"/>
      <c r="G44" s="21"/>
      <c r="H44" s="21"/>
      <c r="J44" s="25"/>
      <c r="K44" s="24"/>
      <c r="L44" s="24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</sheetData>
  <phoneticPr fontId="1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3C1D-D6EC-4391-9A1D-7FC70BAE9C5A}">
  <dimension ref="A1:O134"/>
  <sheetViews>
    <sheetView topLeftCell="D1" zoomScale="85" zoomScaleNormal="85" workbookViewId="0">
      <selection activeCell="N4" sqref="N4"/>
    </sheetView>
  </sheetViews>
  <sheetFormatPr defaultColWidth="8.75" defaultRowHeight="15"/>
  <cols>
    <col min="1" max="1" width="9" style="29"/>
    <col min="2" max="2" width="7.375" customWidth="1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8" style="31" customWidth="1"/>
    <col min="11" max="12" width="9" style="28" bestFit="1" customWidth="1"/>
    <col min="13" max="13" width="15.125" style="28" customWidth="1"/>
  </cols>
  <sheetData>
    <row r="1" spans="1:15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5" s="111" customFormat="1" ht="17.25" customHeight="1">
      <c r="A2" s="144" t="s">
        <v>478</v>
      </c>
      <c r="B2" s="129">
        <v>0.43055555555555558</v>
      </c>
      <c r="C2" s="92" t="s">
        <v>479</v>
      </c>
      <c r="D2" s="7" t="s">
        <v>480</v>
      </c>
      <c r="E2" s="92" t="s">
        <v>34</v>
      </c>
      <c r="F2" s="112">
        <v>0.43402777777777779</v>
      </c>
      <c r="G2" s="40">
        <v>0.46180555555555558</v>
      </c>
      <c r="H2" s="227"/>
      <c r="I2" s="113"/>
      <c r="J2" s="155"/>
      <c r="K2" s="156"/>
      <c r="L2" s="161">
        <v>400</v>
      </c>
      <c r="M2" s="42">
        <f t="shared" ref="M2:M38" si="0">SUM(K2:L2)</f>
        <v>400</v>
      </c>
      <c r="N2" s="42">
        <v>30</v>
      </c>
      <c r="O2"/>
    </row>
    <row r="3" spans="1:15" s="111" customFormat="1" ht="17.25" customHeight="1">
      <c r="A3" s="144" t="s">
        <v>481</v>
      </c>
      <c r="B3" s="129">
        <v>0.43055555555555558</v>
      </c>
      <c r="C3" s="92" t="s">
        <v>479</v>
      </c>
      <c r="D3" s="7" t="s">
        <v>482</v>
      </c>
      <c r="E3" s="39"/>
      <c r="F3" s="40"/>
      <c r="G3" s="40"/>
      <c r="H3" s="39"/>
      <c r="I3" s="41"/>
      <c r="J3" s="155"/>
      <c r="K3" s="42"/>
      <c r="L3" s="44">
        <v>400</v>
      </c>
      <c r="M3" s="42">
        <f t="shared" si="0"/>
        <v>400</v>
      </c>
      <c r="N3" s="42">
        <v>30</v>
      </c>
      <c r="O3"/>
    </row>
    <row r="4" spans="1:15" s="111" customFormat="1" ht="17.25" customHeight="1">
      <c r="A4" s="144"/>
      <c r="B4" s="129"/>
      <c r="C4" s="92"/>
      <c r="D4" s="7"/>
      <c r="E4" s="39"/>
      <c r="F4" s="40"/>
      <c r="G4" s="40"/>
      <c r="H4" s="39"/>
      <c r="I4" s="41"/>
      <c r="J4" s="155"/>
      <c r="K4" s="42"/>
      <c r="L4" s="44"/>
      <c r="M4" s="42">
        <f t="shared" si="0"/>
        <v>0</v>
      </c>
      <c r="N4" s="42"/>
      <c r="O4"/>
    </row>
    <row r="5" spans="1:15" ht="17.25" customHeight="1">
      <c r="A5" s="45"/>
      <c r="B5" s="46"/>
      <c r="C5" s="39"/>
      <c r="D5" s="269"/>
      <c r="E5" s="39"/>
      <c r="F5" s="40"/>
      <c r="G5" s="40"/>
      <c r="H5" s="49"/>
      <c r="I5" s="41"/>
      <c r="J5" s="41"/>
      <c r="K5" s="42"/>
      <c r="L5" s="44"/>
      <c r="M5" s="42">
        <f t="shared" si="0"/>
        <v>0</v>
      </c>
      <c r="N5" s="42"/>
      <c r="O5" s="111"/>
    </row>
    <row r="6" spans="1:15" ht="17.25" customHeight="1">
      <c r="A6" s="45"/>
      <c r="B6" s="46"/>
      <c r="C6" s="92"/>
      <c r="D6" s="95"/>
      <c r="E6" s="102"/>
      <c r="F6" s="112"/>
      <c r="G6" s="112"/>
      <c r="H6" s="39"/>
      <c r="I6" s="41"/>
      <c r="J6" s="43"/>
      <c r="K6" s="176"/>
      <c r="L6" s="177"/>
      <c r="M6" s="42">
        <f t="shared" si="0"/>
        <v>0</v>
      </c>
      <c r="N6" s="42"/>
      <c r="O6" s="111"/>
    </row>
    <row r="7" spans="1:15" s="6" customFormat="1" ht="17.25" customHeight="1">
      <c r="A7" s="45"/>
      <c r="B7" s="46"/>
      <c r="C7" s="92"/>
      <c r="D7" s="7"/>
      <c r="E7" s="39"/>
      <c r="F7" s="40"/>
      <c r="G7" s="40"/>
      <c r="H7" s="39"/>
      <c r="I7" s="41"/>
      <c r="J7" s="155"/>
      <c r="K7" s="156"/>
      <c r="L7" s="161"/>
      <c r="M7" s="42">
        <f t="shared" si="0"/>
        <v>0</v>
      </c>
      <c r="N7" s="42"/>
      <c r="O7"/>
    </row>
    <row r="8" spans="1:15" ht="17.25" customHeight="1">
      <c r="A8" s="90"/>
      <c r="B8" s="48"/>
      <c r="C8" s="39"/>
      <c r="D8" s="7"/>
      <c r="E8" s="39"/>
      <c r="F8" s="40"/>
      <c r="G8" s="40"/>
      <c r="H8" s="39"/>
      <c r="I8" s="41"/>
      <c r="J8" s="43"/>
      <c r="K8" s="42"/>
      <c r="L8" s="44"/>
      <c r="M8" s="42">
        <f t="shared" si="0"/>
        <v>0</v>
      </c>
      <c r="N8" s="42"/>
      <c r="O8" s="6"/>
    </row>
    <row r="9" spans="1:15" ht="17.25" customHeight="1">
      <c r="A9" s="90"/>
      <c r="B9" s="48"/>
      <c r="C9" s="164"/>
      <c r="D9" s="7"/>
      <c r="E9" s="39"/>
      <c r="F9" s="40"/>
      <c r="G9" s="40"/>
      <c r="H9" s="39"/>
      <c r="I9" s="41"/>
      <c r="J9" s="43"/>
      <c r="K9" s="42"/>
      <c r="L9" s="44"/>
      <c r="M9" s="42">
        <f t="shared" si="0"/>
        <v>0</v>
      </c>
      <c r="N9" s="42"/>
    </row>
    <row r="10" spans="1:15" ht="17.25" customHeight="1">
      <c r="A10" s="90"/>
      <c r="B10" s="48"/>
      <c r="C10" s="100"/>
      <c r="D10" s="7"/>
      <c r="E10" s="39"/>
      <c r="F10" s="40"/>
      <c r="G10" s="40"/>
      <c r="H10" s="49"/>
      <c r="I10" s="41"/>
      <c r="J10" s="41"/>
      <c r="K10" s="42"/>
      <c r="L10" s="44"/>
      <c r="M10" s="42">
        <f t="shared" si="0"/>
        <v>0</v>
      </c>
      <c r="N10" s="42"/>
    </row>
    <row r="11" spans="1:15" ht="17.25" customHeight="1">
      <c r="A11" s="90"/>
      <c r="B11" s="48"/>
      <c r="C11" s="100"/>
      <c r="D11" s="7"/>
      <c r="E11" s="39"/>
      <c r="F11" s="40"/>
      <c r="G11" s="40"/>
      <c r="H11" s="39"/>
      <c r="I11" s="41"/>
      <c r="J11" s="175"/>
      <c r="K11" s="176"/>
      <c r="L11" s="177"/>
      <c r="M11" s="42">
        <f t="shared" si="0"/>
        <v>0</v>
      </c>
      <c r="N11" s="42"/>
    </row>
    <row r="12" spans="1:15" ht="17.25" customHeight="1">
      <c r="A12" s="90"/>
      <c r="B12" s="46"/>
      <c r="C12" s="100"/>
      <c r="D12" s="7"/>
      <c r="E12" s="39"/>
      <c r="F12" s="40"/>
      <c r="G12" s="40"/>
      <c r="H12" s="49"/>
      <c r="I12" s="41"/>
      <c r="J12" s="41"/>
      <c r="K12" s="42"/>
      <c r="L12" s="44"/>
      <c r="M12" s="42">
        <f t="shared" si="0"/>
        <v>0</v>
      </c>
      <c r="N12" s="42"/>
    </row>
    <row r="13" spans="1:15" ht="17.25" customHeight="1">
      <c r="A13" s="90"/>
      <c r="B13" s="48"/>
      <c r="C13" s="92"/>
      <c r="D13" s="94"/>
      <c r="E13" s="39"/>
      <c r="F13" s="40"/>
      <c r="G13" s="40"/>
      <c r="H13" s="39"/>
      <c r="I13" s="41"/>
      <c r="J13" s="43"/>
      <c r="K13" s="42"/>
      <c r="L13" s="44"/>
      <c r="M13" s="42">
        <f t="shared" si="0"/>
        <v>0</v>
      </c>
      <c r="N13" s="42"/>
    </row>
    <row r="14" spans="1:15">
      <c r="A14" s="90"/>
      <c r="B14" s="46"/>
      <c r="C14" s="53"/>
      <c r="D14" s="19"/>
      <c r="E14" s="39"/>
      <c r="F14" s="40"/>
      <c r="G14" s="40"/>
      <c r="H14" s="39"/>
      <c r="I14" s="41"/>
      <c r="J14" s="43"/>
      <c r="K14" s="42"/>
      <c r="L14" s="42"/>
      <c r="M14" s="156">
        <f t="shared" si="0"/>
        <v>0</v>
      </c>
      <c r="N14" s="42"/>
    </row>
    <row r="15" spans="1:15">
      <c r="A15" s="90"/>
      <c r="B15" s="8"/>
      <c r="C15" s="53"/>
      <c r="D15" s="36"/>
      <c r="E15" s="53"/>
      <c r="F15" s="61"/>
      <c r="G15" s="61"/>
      <c r="H15" s="53"/>
      <c r="I15" s="55"/>
      <c r="J15" s="56"/>
      <c r="K15" s="50"/>
      <c r="L15" s="50"/>
      <c r="M15" s="156">
        <f t="shared" si="0"/>
        <v>0</v>
      </c>
      <c r="N15" s="42"/>
    </row>
    <row r="16" spans="1:15">
      <c r="A16" s="90"/>
      <c r="B16" s="62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6">
        <f t="shared" si="0"/>
        <v>0</v>
      </c>
      <c r="N16" s="42"/>
    </row>
    <row r="17" spans="1:14">
      <c r="A17" s="90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6">
        <f t="shared" si="0"/>
        <v>0</v>
      </c>
      <c r="N17" s="42"/>
    </row>
    <row r="18" spans="1:14">
      <c r="A18" s="90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>
      <c r="A19" s="90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90"/>
      <c r="B20" s="62"/>
      <c r="C20" s="53"/>
      <c r="D20" s="63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90"/>
      <c r="B21" s="62"/>
      <c r="C21" s="53"/>
      <c r="D21" s="53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64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9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63"/>
      <c r="E29" s="10"/>
      <c r="F29" s="61"/>
      <c r="G29" s="61"/>
      <c r="H29" s="10"/>
      <c r="I29" s="11"/>
      <c r="J29" s="13"/>
      <c r="K29" s="12"/>
      <c r="L29" s="12"/>
      <c r="M29" s="156">
        <f t="shared" si="0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6">
        <f t="shared" si="0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4"/>
      <c r="B38" s="15"/>
      <c r="C38" s="53"/>
      <c r="D38" s="64"/>
      <c r="E38" s="53"/>
      <c r="F38" s="62"/>
      <c r="G38" s="62"/>
      <c r="H38" s="53"/>
      <c r="I38" s="55"/>
      <c r="J38" s="56"/>
      <c r="K38" s="50"/>
      <c r="L38" s="50"/>
      <c r="M38" s="156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800</v>
      </c>
      <c r="N40" s="26">
        <f>SUM(N2:N39)</f>
        <v>60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O134">
    <sortCondition ref="B2:B134"/>
  </sortState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3341-5CAE-41A5-B0E6-39F937270561}">
  <dimension ref="A1:N134"/>
  <sheetViews>
    <sheetView topLeftCell="B1" zoomScale="78" zoomScaleNormal="78" workbookViewId="0">
      <selection activeCell="C25" sqref="C25"/>
    </sheetView>
  </sheetViews>
  <sheetFormatPr defaultColWidth="8.75" defaultRowHeight="15"/>
  <cols>
    <col min="1" max="1" width="9" style="29"/>
    <col min="3" max="3" width="60.1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6.2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361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1" customFormat="1" ht="17.25" customHeight="1">
      <c r="A2" s="144"/>
      <c r="B2" s="129"/>
      <c r="C2" s="199"/>
      <c r="D2" s="174"/>
      <c r="E2" s="92"/>
      <c r="F2" s="112"/>
      <c r="G2" s="112"/>
      <c r="H2" s="92"/>
      <c r="I2" s="113"/>
      <c r="J2" s="272"/>
      <c r="K2" s="114"/>
      <c r="L2" s="44"/>
      <c r="M2" s="42">
        <f t="shared" ref="M2:M36" si="0">SUM(K2:L2)</f>
        <v>0</v>
      </c>
      <c r="N2" s="42"/>
    </row>
    <row r="3" spans="1:14" s="111" customFormat="1" ht="17.25" customHeight="1">
      <c r="A3" s="288"/>
      <c r="B3" s="197"/>
      <c r="C3" s="298"/>
      <c r="D3" s="174"/>
      <c r="E3" s="157"/>
      <c r="F3" s="308"/>
      <c r="G3" s="308"/>
      <c r="H3" s="157"/>
      <c r="I3" s="178"/>
      <c r="J3" s="417"/>
      <c r="K3" s="418"/>
      <c r="L3" s="161"/>
      <c r="M3" s="156">
        <f t="shared" si="0"/>
        <v>0</v>
      </c>
      <c r="N3" s="156"/>
    </row>
    <row r="4" spans="1:14" s="111" customFormat="1" ht="17.25" customHeight="1">
      <c r="A4" s="288"/>
      <c r="B4" s="197"/>
      <c r="C4" s="298"/>
      <c r="D4" s="95"/>
      <c r="E4" s="39"/>
      <c r="F4" s="308"/>
      <c r="G4" s="308"/>
      <c r="H4" s="157"/>
      <c r="I4" s="178"/>
      <c r="J4" s="41"/>
      <c r="K4" s="42"/>
      <c r="L4" s="44"/>
      <c r="M4" s="42">
        <f t="shared" si="0"/>
        <v>0</v>
      </c>
      <c r="N4" s="42"/>
    </row>
    <row r="5" spans="1:14" s="111" customFormat="1" ht="17.25" customHeight="1">
      <c r="A5" s="288"/>
      <c r="B5" s="197"/>
      <c r="C5" s="298"/>
      <c r="D5" s="159"/>
      <c r="E5" s="164"/>
      <c r="F5" s="165"/>
      <c r="G5" s="165"/>
      <c r="H5" s="157"/>
      <c r="I5" s="178"/>
      <c r="J5" s="310"/>
      <c r="K5" s="156"/>
      <c r="L5" s="161"/>
      <c r="M5" s="42">
        <f t="shared" si="0"/>
        <v>0</v>
      </c>
      <c r="N5" s="42"/>
    </row>
    <row r="6" spans="1:14" s="111" customFormat="1" ht="17.25" customHeight="1">
      <c r="A6" s="288"/>
      <c r="B6" s="197"/>
      <c r="C6" s="39"/>
      <c r="D6" s="159"/>
      <c r="E6" s="39"/>
      <c r="F6" s="40"/>
      <c r="G6" s="40"/>
      <c r="H6" s="157"/>
      <c r="I6" s="178"/>
      <c r="J6" s="41"/>
      <c r="K6" s="42"/>
      <c r="L6" s="44"/>
      <c r="M6" s="42">
        <f t="shared" si="0"/>
        <v>0</v>
      </c>
      <c r="N6" s="42"/>
    </row>
    <row r="7" spans="1:14" ht="17.25" customHeight="1">
      <c r="A7" s="166"/>
      <c r="B7" s="46"/>
      <c r="C7" s="92"/>
      <c r="D7" s="159"/>
      <c r="E7" s="164"/>
      <c r="F7" s="165"/>
      <c r="G7" s="165"/>
      <c r="H7" s="39"/>
      <c r="I7" s="41"/>
      <c r="J7" s="155"/>
      <c r="K7" s="176"/>
      <c r="L7" s="177"/>
      <c r="M7" s="42">
        <f t="shared" si="0"/>
        <v>0</v>
      </c>
      <c r="N7" s="42"/>
    </row>
    <row r="8" spans="1:14" ht="17.25" customHeight="1">
      <c r="A8" s="90"/>
      <c r="B8" s="46"/>
      <c r="C8" s="39"/>
      <c r="D8" s="95"/>
      <c r="E8" s="39"/>
      <c r="F8" s="40"/>
      <c r="G8" s="40"/>
      <c r="H8" s="39"/>
      <c r="I8" s="41"/>
      <c r="J8" s="41"/>
      <c r="K8" s="42"/>
      <c r="L8" s="44"/>
      <c r="M8" s="42">
        <f t="shared" si="0"/>
        <v>0</v>
      </c>
      <c r="N8" s="42"/>
    </row>
    <row r="9" spans="1:14" ht="17.25" customHeight="1">
      <c r="A9" s="90"/>
      <c r="B9" s="173"/>
      <c r="C9" s="164"/>
      <c r="D9" s="7"/>
      <c r="E9" s="39"/>
      <c r="F9" s="40"/>
      <c r="G9" s="40"/>
      <c r="H9" s="39"/>
      <c r="I9" s="41"/>
      <c r="J9" s="43"/>
      <c r="K9" s="42"/>
      <c r="L9" s="44"/>
      <c r="M9" s="42">
        <f t="shared" si="0"/>
        <v>0</v>
      </c>
      <c r="N9" s="42"/>
    </row>
    <row r="10" spans="1:14">
      <c r="A10" s="45"/>
      <c r="B10" s="46"/>
      <c r="C10" s="39"/>
      <c r="D10" s="60"/>
      <c r="E10" s="39"/>
      <c r="F10" s="40"/>
      <c r="G10" s="40"/>
      <c r="H10" s="39"/>
      <c r="I10" s="41"/>
      <c r="J10" s="43"/>
      <c r="K10" s="42"/>
      <c r="L10" s="44"/>
      <c r="M10" s="156">
        <f t="shared" si="0"/>
        <v>0</v>
      </c>
      <c r="N10" s="42"/>
    </row>
    <row r="11" spans="1:14">
      <c r="A11" s="47"/>
      <c r="B11" s="48"/>
      <c r="C11" s="39"/>
      <c r="D11" s="60"/>
      <c r="E11" s="39"/>
      <c r="F11" s="40"/>
      <c r="G11" s="40"/>
      <c r="H11" s="39"/>
      <c r="I11" s="41"/>
      <c r="J11" s="43"/>
      <c r="K11" s="42"/>
      <c r="L11" s="44"/>
      <c r="M11" s="156">
        <f t="shared" si="0"/>
        <v>0</v>
      </c>
      <c r="N11" s="42"/>
    </row>
    <row r="12" spans="1:14">
      <c r="A12" s="45"/>
      <c r="B12" s="46"/>
      <c r="C12" s="39"/>
      <c r="D12" s="7"/>
      <c r="E12" s="39"/>
      <c r="F12" s="40"/>
      <c r="G12" s="40"/>
      <c r="H12" s="39"/>
      <c r="I12" s="41"/>
      <c r="J12" s="43"/>
      <c r="K12" s="42"/>
      <c r="L12" s="42"/>
      <c r="M12" s="156">
        <f t="shared" si="0"/>
        <v>0</v>
      </c>
      <c r="N12" s="42"/>
    </row>
    <row r="13" spans="1:14">
      <c r="A13" s="1"/>
      <c r="B13" s="8"/>
      <c r="C13" s="53"/>
      <c r="D13" s="36"/>
      <c r="E13" s="53"/>
      <c r="F13" s="61"/>
      <c r="G13" s="61"/>
      <c r="H13" s="53"/>
      <c r="I13" s="55"/>
      <c r="J13" s="56"/>
      <c r="K13" s="50"/>
      <c r="L13" s="50"/>
      <c r="M13" s="156">
        <f t="shared" si="0"/>
        <v>0</v>
      </c>
      <c r="N13" s="42"/>
    </row>
    <row r="14" spans="1:14">
      <c r="A14" s="365"/>
      <c r="B14" s="335"/>
      <c r="C14" s="53"/>
      <c r="D14" s="36"/>
      <c r="E14" s="53"/>
      <c r="F14" s="61"/>
      <c r="G14" s="61"/>
      <c r="H14" s="53"/>
      <c r="I14" s="55"/>
      <c r="J14" s="56"/>
      <c r="K14" s="50"/>
      <c r="L14" s="50"/>
      <c r="M14" s="156">
        <f t="shared" si="0"/>
        <v>0</v>
      </c>
      <c r="N14" s="42"/>
    </row>
    <row r="15" spans="1:14">
      <c r="A15" s="51"/>
      <c r="B15" s="62"/>
      <c r="C15" s="53"/>
      <c r="D15" s="36"/>
      <c r="E15" s="53"/>
      <c r="F15" s="61"/>
      <c r="G15" s="61"/>
      <c r="H15" s="53"/>
      <c r="I15" s="55"/>
      <c r="J15" s="56"/>
      <c r="K15" s="50"/>
      <c r="L15" s="50"/>
      <c r="M15" s="156">
        <f t="shared" si="0"/>
        <v>0</v>
      </c>
      <c r="N15" s="42"/>
    </row>
    <row r="16" spans="1:14">
      <c r="A16" s="51"/>
      <c r="B16" s="62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6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6">
        <f t="shared" si="0"/>
        <v>0</v>
      </c>
      <c r="N17" s="42"/>
    </row>
    <row r="18" spans="1:14">
      <c r="A18" s="51"/>
      <c r="B18" s="62"/>
      <c r="C18" s="53"/>
      <c r="D18" s="63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>
      <c r="A19" s="51"/>
      <c r="B19" s="62"/>
      <c r="C19" s="53"/>
      <c r="D19" s="53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160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64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9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63"/>
      <c r="E26" s="10"/>
      <c r="F26" s="61"/>
      <c r="G26" s="61"/>
      <c r="H26" s="10"/>
      <c r="I26" s="11"/>
      <c r="J26" s="13"/>
      <c r="K26" s="12"/>
      <c r="L26" s="12"/>
      <c r="M26" s="156">
        <f t="shared" si="0"/>
        <v>0</v>
      </c>
      <c r="N26" s="42"/>
    </row>
    <row r="27" spans="1:14">
      <c r="A27" s="14"/>
      <c r="B27" s="15"/>
      <c r="C27" s="10"/>
      <c r="D27" s="36"/>
      <c r="E27" s="10"/>
      <c r="F27" s="61"/>
      <c r="G27" s="61"/>
      <c r="H27" s="10"/>
      <c r="I27" s="11"/>
      <c r="J27" s="13"/>
      <c r="K27" s="12"/>
      <c r="L27" s="12"/>
      <c r="M27" s="156">
        <f t="shared" si="0"/>
        <v>0</v>
      </c>
      <c r="N27" s="42"/>
    </row>
    <row r="28" spans="1:14">
      <c r="A28" s="14"/>
      <c r="B28" s="15"/>
      <c r="C28" s="10"/>
      <c r="D28" s="16"/>
      <c r="E28" s="10"/>
      <c r="F28" s="61"/>
      <c r="G28" s="61"/>
      <c r="H28" s="10"/>
      <c r="I28" s="11"/>
      <c r="J28" s="13"/>
      <c r="K28" s="12"/>
      <c r="L28" s="12"/>
      <c r="M28" s="156">
        <f t="shared" si="0"/>
        <v>0</v>
      </c>
      <c r="N28" s="42"/>
    </row>
    <row r="29" spans="1:14">
      <c r="A29" s="14"/>
      <c r="B29" s="15"/>
      <c r="C29" s="10"/>
      <c r="D29" s="16"/>
      <c r="E29" s="10"/>
      <c r="F29" s="61"/>
      <c r="G29" s="61"/>
      <c r="H29" s="10"/>
      <c r="I29" s="11"/>
      <c r="J29" s="13"/>
      <c r="K29" s="12"/>
      <c r="L29" s="12"/>
      <c r="M29" s="156">
        <f t="shared" si="0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6">
        <f t="shared" si="0"/>
        <v>0</v>
      </c>
      <c r="N30" s="42"/>
    </row>
    <row r="31" spans="1:14">
      <c r="A31" s="17"/>
      <c r="B31" s="18"/>
      <c r="C31" s="10"/>
      <c r="D31" s="19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17"/>
      <c r="B32" s="18"/>
      <c r="C32" s="10"/>
      <c r="D32" s="19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7"/>
      <c r="B33" s="18"/>
      <c r="C33" s="10"/>
      <c r="D33" s="19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4"/>
      <c r="B34" s="15"/>
      <c r="C34" s="10"/>
      <c r="D34" s="64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4"/>
      <c r="B35" s="15"/>
      <c r="C35" s="53"/>
      <c r="D35" s="64"/>
      <c r="E35" s="53"/>
      <c r="F35" s="62"/>
      <c r="G35" s="62"/>
      <c r="H35" s="53"/>
      <c r="I35" s="55"/>
      <c r="J35" s="56"/>
      <c r="K35" s="50"/>
      <c r="L35" s="50"/>
      <c r="M35" s="156">
        <f t="shared" si="0"/>
        <v>0</v>
      </c>
      <c r="N35" s="42"/>
    </row>
    <row r="36" spans="1:14">
      <c r="A36" s="51"/>
      <c r="B36" s="62"/>
      <c r="C36" s="53"/>
      <c r="D36" s="36"/>
      <c r="E36" s="53"/>
      <c r="F36" s="62"/>
      <c r="G36" s="62"/>
      <c r="H36" s="53"/>
      <c r="I36" s="55"/>
      <c r="J36" s="56"/>
      <c r="K36" s="50"/>
      <c r="L36" s="50"/>
      <c r="M36" s="156">
        <f t="shared" si="0"/>
        <v>0</v>
      </c>
      <c r="N36" s="42"/>
    </row>
    <row r="37" spans="1:14">
      <c r="A37" s="20"/>
      <c r="B37" s="21"/>
      <c r="C37" s="22"/>
      <c r="D37" s="21"/>
      <c r="E37" s="21"/>
      <c r="F37" s="21"/>
      <c r="G37" s="21"/>
      <c r="H37" s="21"/>
      <c r="I37" s="23"/>
      <c r="J37" s="25"/>
      <c r="K37" s="24"/>
      <c r="L37" s="24"/>
      <c r="M37" s="24"/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5"/>
      <c r="K38" s="24"/>
      <c r="L38" s="24"/>
      <c r="M38" s="24"/>
      <c r="N38" s="251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251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SUM(M2:M37)</f>
        <v>0</v>
      </c>
      <c r="N40" s="26">
        <f>SUM(N2:N37)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5">
    <sortCondition ref="B2:B135"/>
  </sortState>
  <phoneticPr fontId="1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9F35-FF62-431E-AB77-96CC8C429795}">
  <dimension ref="A1:P134"/>
  <sheetViews>
    <sheetView zoomScale="60" zoomScaleNormal="60" workbookViewId="0">
      <selection activeCell="B8" sqref="A1:B8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5.2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361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1" customFormat="1" ht="17.25" customHeight="1">
      <c r="A2" s="144"/>
      <c r="B2" s="129"/>
      <c r="C2" s="92"/>
      <c r="D2" s="334"/>
      <c r="E2" s="92"/>
      <c r="F2" s="112"/>
      <c r="G2" s="112"/>
      <c r="H2" s="92"/>
      <c r="I2" s="113"/>
      <c r="J2" s="155"/>
      <c r="K2" s="184"/>
      <c r="L2" s="44"/>
      <c r="M2" s="42">
        <f t="shared" ref="M2:M38" si="0">SUM(K2:L2)</f>
        <v>0</v>
      </c>
      <c r="N2" s="42"/>
    </row>
    <row r="3" spans="1:16" s="111" customFormat="1" ht="17.25" customHeight="1">
      <c r="A3" s="288"/>
      <c r="B3" s="197"/>
      <c r="C3" s="92"/>
      <c r="D3" s="328"/>
      <c r="E3" s="102"/>
      <c r="F3" s="112"/>
      <c r="G3" s="112"/>
      <c r="H3" s="39"/>
      <c r="I3" s="41"/>
      <c r="J3" s="155"/>
      <c r="K3" s="42"/>
      <c r="L3" s="44"/>
      <c r="M3" s="42">
        <f t="shared" si="0"/>
        <v>0</v>
      </c>
      <c r="N3" s="42"/>
    </row>
    <row r="4" spans="1:16" s="111" customFormat="1" ht="17.25" customHeight="1">
      <c r="A4" s="288"/>
      <c r="B4" s="197"/>
      <c r="C4" s="92"/>
      <c r="D4" s="269"/>
      <c r="E4" s="102"/>
      <c r="F4" s="112"/>
      <c r="G4" s="112"/>
      <c r="H4" s="39"/>
      <c r="I4" s="41"/>
      <c r="J4" s="155"/>
      <c r="K4" s="42"/>
      <c r="L4" s="44"/>
      <c r="M4" s="42">
        <f t="shared" si="0"/>
        <v>0</v>
      </c>
      <c r="N4" s="42"/>
    </row>
    <row r="5" spans="1:16" s="111" customFormat="1" ht="17.25" customHeight="1">
      <c r="A5" s="100"/>
      <c r="B5" s="48"/>
      <c r="C5" s="100"/>
      <c r="D5" s="166"/>
      <c r="E5" s="39"/>
      <c r="F5" s="40"/>
      <c r="G5" s="40"/>
      <c r="H5" s="92"/>
      <c r="I5" s="113"/>
      <c r="J5" s="128"/>
      <c r="K5" s="42"/>
      <c r="L5" s="44"/>
      <c r="M5" s="42">
        <f t="shared" si="0"/>
        <v>0</v>
      </c>
      <c r="N5" s="42"/>
    </row>
    <row r="6" spans="1:16" s="111" customFormat="1" ht="17.25" customHeight="1">
      <c r="A6" s="100"/>
      <c r="B6" s="48"/>
      <c r="C6" s="100"/>
      <c r="D6" s="7"/>
      <c r="E6" s="39"/>
      <c r="F6" s="40"/>
      <c r="G6" s="40"/>
      <c r="H6" s="92"/>
      <c r="I6" s="113"/>
      <c r="J6" s="128"/>
      <c r="K6" s="42"/>
      <c r="L6" s="44"/>
      <c r="M6" s="42">
        <f t="shared" si="0"/>
        <v>0</v>
      </c>
      <c r="N6" s="42"/>
    </row>
    <row r="7" spans="1:16" s="111" customFormat="1" ht="17.25" customHeight="1">
      <c r="A7" s="100"/>
      <c r="B7" s="48"/>
      <c r="C7" s="100"/>
      <c r="D7" s="7"/>
      <c r="E7" s="39"/>
      <c r="F7" s="40"/>
      <c r="G7" s="40"/>
      <c r="H7" s="92"/>
      <c r="I7" s="113"/>
      <c r="J7" s="128"/>
      <c r="K7" s="42"/>
      <c r="L7" s="44"/>
      <c r="M7" s="42">
        <f t="shared" si="0"/>
        <v>0</v>
      </c>
      <c r="N7" s="42"/>
    </row>
    <row r="8" spans="1:16" s="111" customFormat="1" ht="17.25" customHeight="1">
      <c r="A8" s="90"/>
      <c r="B8" s="48"/>
      <c r="C8" s="185"/>
      <c r="D8" s="186"/>
      <c r="E8" s="102"/>
      <c r="F8" s="40"/>
      <c r="G8" s="40"/>
      <c r="H8" s="39"/>
      <c r="I8" s="41"/>
      <c r="J8" s="128"/>
      <c r="K8" s="42"/>
      <c r="L8" s="44"/>
      <c r="M8" s="42">
        <f t="shared" si="0"/>
        <v>0</v>
      </c>
      <c r="N8" s="42"/>
    </row>
    <row r="9" spans="1:16" ht="17.25" customHeight="1">
      <c r="A9" s="158"/>
      <c r="B9" s="167"/>
      <c r="C9" s="366"/>
      <c r="D9" s="92"/>
      <c r="E9" s="92"/>
      <c r="F9" s="165"/>
      <c r="G9" s="165"/>
      <c r="H9" s="92"/>
      <c r="I9" s="113"/>
      <c r="J9" s="175"/>
      <c r="K9" s="176"/>
      <c r="L9" s="177"/>
      <c r="M9" s="42">
        <f t="shared" si="0"/>
        <v>0</v>
      </c>
      <c r="N9" s="42"/>
    </row>
    <row r="10" spans="1:16" ht="17.25" customHeight="1">
      <c r="A10" s="158"/>
      <c r="B10" s="167"/>
      <c r="C10" s="366"/>
      <c r="D10" s="100"/>
      <c r="E10" s="102"/>
      <c r="F10" s="165"/>
      <c r="G10" s="165"/>
      <c r="H10" s="92"/>
      <c r="I10" s="113"/>
      <c r="J10" s="175"/>
      <c r="K10" s="176"/>
      <c r="L10" s="177"/>
      <c r="M10" s="42">
        <f t="shared" si="0"/>
        <v>0</v>
      </c>
      <c r="N10" s="42"/>
      <c r="P10" t="s">
        <v>483</v>
      </c>
    </row>
    <row r="11" spans="1:16" ht="17.25" customHeight="1">
      <c r="A11" s="90"/>
      <c r="B11" s="309"/>
      <c r="C11" s="157"/>
      <c r="D11" s="166"/>
      <c r="E11" s="39"/>
      <c r="F11" s="40"/>
      <c r="G11" s="40"/>
      <c r="H11" s="39"/>
      <c r="I11" s="41"/>
      <c r="J11" s="175"/>
      <c r="K11" s="176"/>
      <c r="L11" s="177"/>
      <c r="M11" s="42">
        <f t="shared" si="0"/>
        <v>0</v>
      </c>
      <c r="N11" s="42"/>
    </row>
    <row r="12" spans="1:16" ht="17.25" customHeight="1">
      <c r="A12" s="90"/>
      <c r="B12" s="48"/>
      <c r="C12" s="39"/>
      <c r="D12" s="7"/>
      <c r="E12" s="39"/>
      <c r="F12" s="40"/>
      <c r="G12" s="40"/>
      <c r="H12" s="39"/>
      <c r="I12" s="41"/>
      <c r="J12" s="175"/>
      <c r="K12" s="176"/>
      <c r="L12" s="177"/>
      <c r="M12" s="42">
        <f t="shared" si="0"/>
        <v>0</v>
      </c>
      <c r="N12" s="42"/>
    </row>
    <row r="13" spans="1:16" ht="17.25" customHeight="1">
      <c r="A13" s="100"/>
      <c r="B13" s="99"/>
      <c r="C13" s="92"/>
      <c r="D13" s="100"/>
      <c r="E13" s="102"/>
      <c r="F13" s="112"/>
      <c r="G13" s="112"/>
      <c r="H13" s="92"/>
      <c r="I13" s="113"/>
      <c r="J13" s="175"/>
      <c r="K13" s="176"/>
      <c r="L13" s="177"/>
      <c r="M13" s="42">
        <f t="shared" si="0"/>
        <v>0</v>
      </c>
      <c r="N13" s="42"/>
    </row>
    <row r="14" spans="1:16" ht="18" customHeight="1">
      <c r="A14" s="144"/>
      <c r="B14" s="48"/>
      <c r="C14" s="100"/>
      <c r="D14" s="7"/>
      <c r="E14" s="39"/>
      <c r="F14" s="40"/>
      <c r="G14" s="40"/>
      <c r="H14" s="92"/>
      <c r="I14" s="113"/>
      <c r="J14" s="128"/>
      <c r="K14" s="42"/>
      <c r="L14" s="44"/>
      <c r="M14" s="42">
        <f t="shared" si="0"/>
        <v>0</v>
      </c>
      <c r="N14" s="42"/>
    </row>
    <row r="15" spans="1:16" ht="18" customHeight="1">
      <c r="A15" s="144"/>
      <c r="B15" s="48"/>
      <c r="C15" s="100"/>
      <c r="D15" s="7"/>
      <c r="E15" s="39"/>
      <c r="F15" s="40"/>
      <c r="G15" s="40"/>
      <c r="H15" s="92"/>
      <c r="I15" s="113"/>
      <c r="J15" s="128"/>
      <c r="K15" s="42"/>
      <c r="L15" s="44"/>
      <c r="M15" s="42">
        <f t="shared" si="0"/>
        <v>0</v>
      </c>
      <c r="N15" s="42"/>
    </row>
    <row r="16" spans="1:16" ht="17.25" customHeight="1">
      <c r="A16" s="90"/>
      <c r="B16" s="48"/>
      <c r="C16" s="100"/>
      <c r="D16" s="94"/>
      <c r="E16" s="39"/>
      <c r="F16" s="40"/>
      <c r="G16" s="40"/>
      <c r="H16" s="39"/>
      <c r="I16" s="41"/>
      <c r="J16" s="128"/>
      <c r="K16" s="42"/>
      <c r="L16" s="44"/>
      <c r="M16" s="42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6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>
      <c r="A23" s="51"/>
      <c r="B23" s="62"/>
      <c r="C23" s="53"/>
      <c r="D23" s="64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>
      <c r="A25" s="51"/>
      <c r="B25" s="62"/>
      <c r="C25" s="53"/>
      <c r="D25" s="9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63"/>
      <c r="E28" s="10"/>
      <c r="F28" s="61"/>
      <c r="G28" s="61"/>
      <c r="H28" s="10"/>
      <c r="I28" s="11"/>
      <c r="J28" s="13"/>
      <c r="K28" s="12"/>
      <c r="L28" s="12"/>
      <c r="M28" s="156">
        <f t="shared" si="0"/>
        <v>0</v>
      </c>
      <c r="N28" s="42"/>
    </row>
    <row r="29" spans="1:14">
      <c r="A29" s="14"/>
      <c r="B29" s="15"/>
      <c r="C29" s="10"/>
      <c r="D29" s="36"/>
      <c r="E29" s="10"/>
      <c r="F29" s="61"/>
      <c r="G29" s="61"/>
      <c r="H29" s="10"/>
      <c r="I29" s="11"/>
      <c r="J29" s="13"/>
      <c r="K29" s="12"/>
      <c r="L29" s="12"/>
      <c r="M29" s="156">
        <f t="shared" si="0"/>
        <v>0</v>
      </c>
      <c r="N29" s="42"/>
    </row>
    <row r="30" spans="1:14">
      <c r="A30" s="14"/>
      <c r="B30" s="15"/>
      <c r="C30" s="10"/>
      <c r="D30" s="16"/>
      <c r="E30" s="10"/>
      <c r="F30" s="61"/>
      <c r="G30" s="61"/>
      <c r="H30" s="10"/>
      <c r="I30" s="11"/>
      <c r="J30" s="13"/>
      <c r="K30" s="12"/>
      <c r="L30" s="12"/>
      <c r="M30" s="156">
        <f t="shared" si="0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6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156">
        <f t="shared" si="0"/>
        <v>0</v>
      </c>
      <c r="N32" s="42"/>
    </row>
    <row r="33" spans="1:14">
      <c r="A33" s="17"/>
      <c r="B33" s="18"/>
      <c r="C33" s="10"/>
      <c r="D33" s="19"/>
      <c r="E33" s="10"/>
      <c r="F33" s="61"/>
      <c r="G33" s="61"/>
      <c r="H33" s="10"/>
      <c r="I33" s="11"/>
      <c r="J33" s="13"/>
      <c r="K33" s="12"/>
      <c r="L33" s="12"/>
      <c r="M33" s="156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6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4"/>
      <c r="B38" s="15"/>
      <c r="C38" s="53"/>
      <c r="D38" s="64"/>
      <c r="E38" s="53"/>
      <c r="F38" s="62"/>
      <c r="G38" s="62"/>
      <c r="H38" s="53"/>
      <c r="I38" s="55"/>
      <c r="J38" s="56"/>
      <c r="K38" s="50"/>
      <c r="L38" s="50"/>
      <c r="M38" s="156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50B9-5934-4DCE-9D80-78B8574B38D4}">
  <dimension ref="A1:N134"/>
  <sheetViews>
    <sheetView zoomScale="79" zoomScaleNormal="79" workbookViewId="0">
      <selection activeCell="D19" sqref="D19"/>
    </sheetView>
  </sheetViews>
  <sheetFormatPr defaultColWidth="8.75" defaultRowHeight="15"/>
  <cols>
    <col min="1" max="1" width="9" style="29"/>
    <col min="3" max="3" width="59.5" customWidth="1"/>
    <col min="4" max="4" width="28.37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1" customFormat="1" ht="17.25" customHeight="1">
      <c r="A2" s="181" t="s">
        <v>484</v>
      </c>
      <c r="B2" s="132">
        <v>0.13194444444444445</v>
      </c>
      <c r="C2" s="133" t="s">
        <v>104</v>
      </c>
      <c r="D2" s="100" t="s">
        <v>485</v>
      </c>
      <c r="E2" s="133" t="s">
        <v>34</v>
      </c>
      <c r="F2" s="132">
        <v>0.13055555555555556</v>
      </c>
      <c r="G2" s="132">
        <v>0.15208333333333332</v>
      </c>
      <c r="H2" s="133"/>
      <c r="I2" s="134"/>
      <c r="J2" s="155" t="s">
        <v>105</v>
      </c>
      <c r="K2" s="135">
        <v>60</v>
      </c>
      <c r="L2" s="136">
        <v>400</v>
      </c>
      <c r="M2" s="135">
        <f t="shared" ref="M2:M37" si="0">SUM(K2:L2)</f>
        <v>460</v>
      </c>
      <c r="N2" s="42">
        <v>30</v>
      </c>
    </row>
    <row r="3" spans="1:14" s="111" customFormat="1" ht="17.25" customHeight="1">
      <c r="A3" s="311" t="s">
        <v>486</v>
      </c>
      <c r="B3" s="132">
        <v>0.14583333333333334</v>
      </c>
      <c r="C3" s="133" t="s">
        <v>197</v>
      </c>
      <c r="D3" s="198" t="s">
        <v>485</v>
      </c>
      <c r="E3" s="182" t="s">
        <v>34</v>
      </c>
      <c r="F3" s="132">
        <v>0.18055555555555555</v>
      </c>
      <c r="G3" s="132">
        <v>0.19930555555555557</v>
      </c>
      <c r="H3" s="125"/>
      <c r="I3" s="93"/>
      <c r="J3" s="175" t="s">
        <v>271</v>
      </c>
      <c r="K3" s="176">
        <v>95</v>
      </c>
      <c r="L3" s="177">
        <v>400</v>
      </c>
      <c r="M3" s="214">
        <f t="shared" si="0"/>
        <v>495</v>
      </c>
      <c r="N3" s="42">
        <v>30</v>
      </c>
    </row>
    <row r="4" spans="1:14" s="111" customFormat="1" ht="17.25" customHeight="1">
      <c r="A4" s="311" t="s">
        <v>486</v>
      </c>
      <c r="B4" s="132">
        <v>0.14583333333333334</v>
      </c>
      <c r="C4" s="133" t="s">
        <v>197</v>
      </c>
      <c r="D4" s="198" t="s">
        <v>487</v>
      </c>
      <c r="E4" s="182" t="s">
        <v>34</v>
      </c>
      <c r="F4" s="132">
        <v>0.18055555555555555</v>
      </c>
      <c r="G4" s="132">
        <v>0.19930555555555557</v>
      </c>
      <c r="H4" s="125"/>
      <c r="I4" s="93"/>
      <c r="J4" s="175" t="s">
        <v>271</v>
      </c>
      <c r="K4" s="176">
        <v>95</v>
      </c>
      <c r="L4" s="177">
        <v>400</v>
      </c>
      <c r="M4" s="214">
        <f t="shared" si="0"/>
        <v>495</v>
      </c>
      <c r="N4" s="42">
        <v>30</v>
      </c>
    </row>
    <row r="5" spans="1:14" s="111" customFormat="1" ht="17.25" customHeight="1">
      <c r="A5" s="125">
        <v>538801</v>
      </c>
      <c r="B5" s="132">
        <v>0.19444444444444445</v>
      </c>
      <c r="C5" s="133" t="s">
        <v>104</v>
      </c>
      <c r="D5" s="328" t="s">
        <v>488</v>
      </c>
      <c r="E5" s="182" t="s">
        <v>34</v>
      </c>
      <c r="F5" s="132">
        <v>0.19444444444444445</v>
      </c>
      <c r="G5" s="132">
        <v>0.21527777777777779</v>
      </c>
      <c r="H5" s="133"/>
      <c r="I5" s="134"/>
      <c r="J5" s="312" t="s">
        <v>105</v>
      </c>
      <c r="K5" s="176">
        <v>60</v>
      </c>
      <c r="L5" s="177">
        <v>400</v>
      </c>
      <c r="M5" s="214">
        <f t="shared" si="0"/>
        <v>460</v>
      </c>
      <c r="N5" s="42">
        <v>30</v>
      </c>
    </row>
    <row r="6" spans="1:14" s="111" customFormat="1" ht="17.25" customHeight="1">
      <c r="A6" s="125"/>
      <c r="B6" s="132"/>
      <c r="C6" s="133"/>
      <c r="D6" s="125"/>
      <c r="E6" s="182"/>
      <c r="F6" s="132"/>
      <c r="G6" s="132"/>
      <c r="H6" s="133"/>
      <c r="I6" s="134"/>
      <c r="J6" s="175"/>
      <c r="K6" s="176"/>
      <c r="L6" s="177"/>
      <c r="M6" s="214">
        <f t="shared" si="0"/>
        <v>0</v>
      </c>
      <c r="N6" s="42"/>
    </row>
    <row r="7" spans="1:14" s="111" customFormat="1" ht="17.25" customHeight="1">
      <c r="A7" s="181"/>
      <c r="B7" s="132"/>
      <c r="C7" s="125"/>
      <c r="D7" s="7"/>
      <c r="E7" s="125"/>
      <c r="F7" s="126"/>
      <c r="G7" s="126"/>
      <c r="H7" s="133"/>
      <c r="I7" s="134"/>
      <c r="J7" s="312"/>
      <c r="K7" s="176"/>
      <c r="L7" s="177"/>
      <c r="M7" s="214">
        <f t="shared" si="0"/>
        <v>0</v>
      </c>
      <c r="N7" s="42"/>
    </row>
    <row r="8" spans="1:14" s="111" customFormat="1" ht="17.25" customHeight="1">
      <c r="A8" s="125"/>
      <c r="B8" s="132"/>
      <c r="C8" s="125"/>
      <c r="D8" s="7"/>
      <c r="E8" s="125"/>
      <c r="F8" s="126"/>
      <c r="G8" s="126"/>
      <c r="H8" s="133"/>
      <c r="I8" s="134"/>
      <c r="J8" s="93"/>
      <c r="K8" s="135"/>
      <c r="L8" s="136"/>
      <c r="M8" s="135">
        <f t="shared" si="0"/>
        <v>0</v>
      </c>
      <c r="N8" s="42"/>
    </row>
    <row r="9" spans="1:14" s="111" customFormat="1" ht="17.25" customHeight="1">
      <c r="A9" s="90"/>
      <c r="B9" s="48"/>
      <c r="C9" s="367"/>
      <c r="D9" s="7"/>
      <c r="E9" s="39"/>
      <c r="F9" s="40"/>
      <c r="G9" s="40"/>
      <c r="H9" s="39"/>
      <c r="I9" s="41"/>
      <c r="J9" s="43"/>
      <c r="K9" s="42"/>
      <c r="L9" s="44"/>
      <c r="M9" s="214">
        <f t="shared" si="0"/>
        <v>0</v>
      </c>
      <c r="N9" s="42"/>
    </row>
    <row r="10" spans="1:14" s="111" customFormat="1" ht="17.25" customHeight="1">
      <c r="A10" s="90"/>
      <c r="B10" s="48"/>
      <c r="C10" s="100"/>
      <c r="D10" s="7"/>
      <c r="E10" s="39"/>
      <c r="F10" s="40"/>
      <c r="G10" s="40"/>
      <c r="H10" s="49"/>
      <c r="I10" s="41"/>
      <c r="J10" s="43"/>
      <c r="K10" s="42"/>
      <c r="L10" s="44"/>
      <c r="M10" s="214">
        <f t="shared" si="0"/>
        <v>0</v>
      </c>
      <c r="N10" s="42"/>
    </row>
    <row r="11" spans="1:14">
      <c r="A11" s="90"/>
      <c r="B11" s="48"/>
      <c r="C11" s="39"/>
      <c r="D11" s="7"/>
      <c r="E11" s="39"/>
      <c r="F11" s="40"/>
      <c r="G11" s="40"/>
      <c r="H11" s="39"/>
      <c r="I11" s="41"/>
      <c r="J11" s="41"/>
      <c r="K11" s="42"/>
      <c r="L11" s="44"/>
      <c r="M11" s="214">
        <f t="shared" si="0"/>
        <v>0</v>
      </c>
      <c r="N11" s="42"/>
    </row>
    <row r="12" spans="1:14" ht="17.25" customHeight="1">
      <c r="A12" s="90"/>
      <c r="B12" s="46"/>
      <c r="C12" s="92"/>
      <c r="D12" s="7"/>
      <c r="E12" s="39"/>
      <c r="F12" s="40"/>
      <c r="G12" s="40"/>
      <c r="H12" s="39"/>
      <c r="I12" s="41"/>
      <c r="J12" s="43"/>
      <c r="K12" s="42"/>
      <c r="L12" s="44"/>
      <c r="M12" s="214">
        <f t="shared" si="0"/>
        <v>0</v>
      </c>
      <c r="N12" s="42"/>
    </row>
    <row r="13" spans="1:14" ht="17.25" customHeight="1">
      <c r="A13" s="90"/>
      <c r="B13" s="48"/>
      <c r="C13" s="92"/>
      <c r="D13" s="120"/>
      <c r="E13" s="39"/>
      <c r="F13" s="40"/>
      <c r="G13" s="40"/>
      <c r="H13" s="39"/>
      <c r="I13" s="41"/>
      <c r="J13" s="43"/>
      <c r="K13" s="42"/>
      <c r="L13" s="44"/>
      <c r="M13" s="214">
        <f t="shared" si="0"/>
        <v>0</v>
      </c>
      <c r="N13" s="42"/>
    </row>
    <row r="14" spans="1:14">
      <c r="A14" s="47"/>
      <c r="B14" s="48"/>
      <c r="C14" s="39"/>
      <c r="D14" s="60"/>
      <c r="E14" s="39"/>
      <c r="F14" s="40"/>
      <c r="G14" s="40"/>
      <c r="H14" s="39"/>
      <c r="I14" s="41"/>
      <c r="J14" s="41"/>
      <c r="K14" s="42"/>
      <c r="L14" s="44"/>
      <c r="M14" s="214">
        <f t="shared" si="0"/>
        <v>0</v>
      </c>
      <c r="N14" s="42"/>
    </row>
    <row r="15" spans="1:14">
      <c r="A15" s="253"/>
      <c r="B15" s="167"/>
      <c r="C15" s="39"/>
      <c r="D15" s="7"/>
      <c r="E15" s="39"/>
      <c r="F15" s="40"/>
      <c r="G15" s="40"/>
      <c r="H15" s="39"/>
      <c r="I15" s="41"/>
      <c r="J15" s="43"/>
      <c r="K15" s="42"/>
      <c r="L15" s="42"/>
      <c r="M15" s="214">
        <f t="shared" si="0"/>
        <v>0</v>
      </c>
      <c r="N15" s="42"/>
    </row>
    <row r="16" spans="1:14">
      <c r="A16" s="1"/>
      <c r="B16" s="8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214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214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214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214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214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214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214">
        <f t="shared" si="0"/>
        <v>0</v>
      </c>
      <c r="N22" s="42"/>
    </row>
    <row r="23" spans="1:14">
      <c r="A23" s="51"/>
      <c r="B23" s="62"/>
      <c r="C23" s="53"/>
      <c r="D23" s="53"/>
      <c r="E23" s="53"/>
      <c r="F23" s="61"/>
      <c r="G23" s="61"/>
      <c r="H23" s="53"/>
      <c r="I23" s="55"/>
      <c r="J23" s="56"/>
      <c r="K23" s="50"/>
      <c r="L23" s="50"/>
      <c r="M23" s="214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214">
        <f t="shared" si="0"/>
        <v>0</v>
      </c>
      <c r="N24" s="42"/>
    </row>
    <row r="25" spans="1:14">
      <c r="A25" s="51"/>
      <c r="B25" s="62"/>
      <c r="C25" s="53"/>
      <c r="D25" s="64"/>
      <c r="E25" s="53"/>
      <c r="F25" s="61"/>
      <c r="G25" s="61"/>
      <c r="H25" s="53"/>
      <c r="I25" s="55"/>
      <c r="J25" s="56"/>
      <c r="K25" s="50"/>
      <c r="L25" s="50"/>
      <c r="M25" s="214">
        <f t="shared" si="0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214">
        <f t="shared" si="0"/>
        <v>0</v>
      </c>
      <c r="N26" s="42"/>
    </row>
    <row r="27" spans="1:14">
      <c r="A27" s="51"/>
      <c r="B27" s="62"/>
      <c r="C27" s="53"/>
      <c r="D27" s="146"/>
      <c r="E27" s="53"/>
      <c r="F27" s="61"/>
      <c r="G27" s="61"/>
      <c r="H27" s="53"/>
      <c r="I27" s="55"/>
      <c r="J27" s="56"/>
      <c r="K27" s="50"/>
      <c r="L27" s="50"/>
      <c r="M27" s="214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214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214">
        <f t="shared" si="0"/>
        <v>0</v>
      </c>
      <c r="N29" s="42"/>
    </row>
    <row r="30" spans="1:14">
      <c r="A30" s="51"/>
      <c r="B30" s="62"/>
      <c r="C30" s="53"/>
      <c r="D30" s="63"/>
      <c r="E30" s="10"/>
      <c r="F30" s="61"/>
      <c r="G30" s="61"/>
      <c r="H30" s="10"/>
      <c r="I30" s="11"/>
      <c r="J30" s="13"/>
      <c r="K30" s="12"/>
      <c r="L30" s="12"/>
      <c r="M30" s="214">
        <f t="shared" si="0"/>
        <v>0</v>
      </c>
      <c r="N30" s="42"/>
    </row>
    <row r="31" spans="1:14">
      <c r="A31" s="14"/>
      <c r="B31" s="15"/>
      <c r="C31" s="10"/>
      <c r="D31" s="36"/>
      <c r="E31" s="10"/>
      <c r="F31" s="61"/>
      <c r="G31" s="61"/>
      <c r="H31" s="10"/>
      <c r="I31" s="11"/>
      <c r="J31" s="13"/>
      <c r="K31" s="12"/>
      <c r="L31" s="12"/>
      <c r="M31" s="214">
        <f t="shared" si="0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214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214">
        <f t="shared" si="0"/>
        <v>0</v>
      </c>
      <c r="N33" s="42"/>
    </row>
    <row r="34" spans="1:14">
      <c r="A34" s="14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214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214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214">
        <f t="shared" si="0"/>
        <v>0</v>
      </c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214">
        <f t="shared" si="0"/>
        <v>0</v>
      </c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5"/>
      <c r="K38" s="24"/>
      <c r="L38" s="24"/>
      <c r="M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1910</v>
      </c>
      <c r="N40" s="26">
        <f>SUM(N2:N39)</f>
        <v>120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FB80-4B99-418E-98FA-CE6B56B436C6}">
  <dimension ref="A1:P134"/>
  <sheetViews>
    <sheetView zoomScale="70" zoomScaleNormal="70" workbookViewId="0">
      <selection activeCell="C6" sqref="C6"/>
    </sheetView>
  </sheetViews>
  <sheetFormatPr defaultColWidth="8.75" defaultRowHeight="15"/>
  <cols>
    <col min="1" max="1" width="9" style="245"/>
    <col min="2" max="2" width="8.75" style="111"/>
    <col min="3" max="3" width="61.375" style="111" customWidth="1"/>
    <col min="4" max="4" width="25.25" style="111" customWidth="1"/>
    <col min="5" max="7" width="9" style="111" bestFit="1" customWidth="1"/>
    <col min="8" max="8" width="11.5" style="111" bestFit="1" customWidth="1"/>
    <col min="9" max="9" width="9.5" style="111" customWidth="1"/>
    <col min="10" max="10" width="31.875" style="247" customWidth="1"/>
    <col min="11" max="12" width="9" style="244" bestFit="1" customWidth="1"/>
    <col min="13" max="13" width="15.125" style="244" customWidth="1"/>
    <col min="14" max="16384" width="8.75" style="111"/>
  </cols>
  <sheetData>
    <row r="1" spans="1:16" customFormat="1">
      <c r="A1" s="67" t="s">
        <v>17</v>
      </c>
      <c r="B1" s="68" t="s">
        <v>18</v>
      </c>
      <c r="C1" s="2" t="s">
        <v>54</v>
      </c>
      <c r="D1" s="69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ht="17.25" customHeight="1">
      <c r="A2" s="100">
        <v>538448</v>
      </c>
      <c r="B2" s="46">
        <v>0.38541666666666669</v>
      </c>
      <c r="C2" s="92" t="s">
        <v>489</v>
      </c>
      <c r="D2" s="269" t="s">
        <v>490</v>
      </c>
      <c r="E2" s="102" t="s">
        <v>34</v>
      </c>
      <c r="F2" s="40">
        <v>0.40277777777777779</v>
      </c>
      <c r="G2" s="40">
        <v>0.4236111111111111</v>
      </c>
      <c r="H2" s="39"/>
      <c r="I2" s="41"/>
      <c r="J2" s="41" t="s">
        <v>40</v>
      </c>
      <c r="K2" s="42">
        <v>35</v>
      </c>
      <c r="L2" s="130">
        <v>400</v>
      </c>
      <c r="M2" s="42">
        <f t="shared" ref="M2:M39" si="0">SUM(K2:L2)</f>
        <v>435</v>
      </c>
      <c r="N2" s="42">
        <v>30</v>
      </c>
    </row>
    <row r="3" spans="1:16" ht="17.25" customHeight="1">
      <c r="A3" s="90" t="s">
        <v>491</v>
      </c>
      <c r="B3" s="173">
        <v>0.42708333333333331</v>
      </c>
      <c r="C3" s="157" t="s">
        <v>48</v>
      </c>
      <c r="D3" s="198" t="s">
        <v>485</v>
      </c>
      <c r="E3" s="92" t="s">
        <v>34</v>
      </c>
      <c r="F3" s="165">
        <v>0.43125000000000002</v>
      </c>
      <c r="G3" s="165">
        <v>0.42708333333333331</v>
      </c>
      <c r="H3" s="39"/>
      <c r="I3" s="113"/>
      <c r="J3" s="41"/>
      <c r="K3" s="176"/>
      <c r="L3" s="177">
        <v>400</v>
      </c>
      <c r="M3" s="42">
        <f t="shared" si="0"/>
        <v>400</v>
      </c>
      <c r="N3" s="42">
        <v>30</v>
      </c>
    </row>
    <row r="4" spans="1:16" s="131" customFormat="1" ht="17.25" customHeight="1">
      <c r="A4" s="90"/>
      <c r="B4" s="119"/>
      <c r="C4" s="199"/>
      <c r="D4" s="159"/>
      <c r="E4" s="102"/>
      <c r="F4" s="112"/>
      <c r="G4" s="112"/>
      <c r="H4" s="39"/>
      <c r="I4" s="41"/>
      <c r="J4" s="41"/>
      <c r="K4" s="42"/>
      <c r="L4" s="130"/>
      <c r="M4" s="42">
        <f t="shared" si="0"/>
        <v>0</v>
      </c>
      <c r="N4" s="42"/>
      <c r="O4" s="143"/>
      <c r="P4" s="143"/>
    </row>
    <row r="5" spans="1:16" ht="17.25" customHeight="1">
      <c r="A5" s="199"/>
      <c r="B5" s="129"/>
      <c r="C5" s="199"/>
      <c r="D5" s="157"/>
      <c r="E5" s="92"/>
      <c r="F5" s="112"/>
      <c r="G5" s="112"/>
      <c r="H5" s="92"/>
      <c r="I5" s="113"/>
      <c r="J5" s="160"/>
      <c r="K5" s="42"/>
      <c r="L5" s="130"/>
      <c r="M5" s="42">
        <f t="shared" si="0"/>
        <v>0</v>
      </c>
      <c r="N5" s="42"/>
    </row>
    <row r="6" spans="1:16" ht="17.25" customHeight="1">
      <c r="A6" s="100"/>
      <c r="B6" s="129"/>
      <c r="C6" s="92"/>
      <c r="D6" s="159"/>
      <c r="E6" s="180"/>
      <c r="F6" s="112"/>
      <c r="G6" s="112"/>
      <c r="H6" s="92"/>
      <c r="I6" s="113"/>
      <c r="J6" s="175"/>
      <c r="K6" s="176"/>
      <c r="L6" s="177"/>
      <c r="M6" s="42">
        <f t="shared" si="0"/>
        <v>0</v>
      </c>
      <c r="N6" s="42"/>
    </row>
    <row r="7" spans="1:16" ht="17.25" customHeight="1">
      <c r="A7" s="100"/>
      <c r="B7" s="129"/>
      <c r="C7" s="92"/>
      <c r="D7" s="7"/>
      <c r="E7" s="102"/>
      <c r="F7" s="112"/>
      <c r="G7" s="112"/>
      <c r="H7" s="92"/>
      <c r="I7" s="113"/>
      <c r="J7" s="41"/>
      <c r="K7" s="42"/>
      <c r="L7" s="130"/>
      <c r="M7" s="42">
        <f t="shared" si="0"/>
        <v>0</v>
      </c>
      <c r="N7" s="42"/>
    </row>
    <row r="8" spans="1:16" ht="17.25" customHeight="1">
      <c r="A8" s="45"/>
      <c r="B8" s="129"/>
      <c r="C8" s="157"/>
      <c r="D8" s="157"/>
      <c r="E8" s="39"/>
      <c r="F8" s="40"/>
      <c r="G8" s="40"/>
      <c r="H8" s="92"/>
      <c r="I8" s="113"/>
      <c r="J8" s="41"/>
      <c r="K8" s="42"/>
      <c r="L8" s="130"/>
      <c r="M8" s="42">
        <f t="shared" si="0"/>
        <v>0</v>
      </c>
      <c r="N8" s="42"/>
    </row>
    <row r="9" spans="1:16" ht="17.25" customHeight="1">
      <c r="A9" s="45"/>
      <c r="B9" s="129"/>
      <c r="C9" s="157"/>
      <c r="D9" s="159"/>
      <c r="E9" s="39"/>
      <c r="F9" s="40"/>
      <c r="G9" s="40"/>
      <c r="H9" s="92"/>
      <c r="I9" s="113"/>
      <c r="J9" s="41"/>
      <c r="K9" s="97"/>
      <c r="L9" s="130"/>
      <c r="M9" s="42">
        <f t="shared" si="0"/>
        <v>0</v>
      </c>
      <c r="N9" s="42"/>
    </row>
    <row r="10" spans="1:16" ht="17.25" customHeight="1">
      <c r="A10" s="313"/>
      <c r="B10" s="197"/>
      <c r="C10" s="157"/>
      <c r="D10" s="159"/>
      <c r="E10" s="95"/>
      <c r="F10" s="40"/>
      <c r="G10" s="40"/>
      <c r="H10" s="95"/>
      <c r="I10" s="96"/>
      <c r="J10" s="179"/>
      <c r="K10" s="97"/>
      <c r="L10" s="130"/>
      <c r="M10" s="42">
        <f t="shared" si="0"/>
        <v>0</v>
      </c>
      <c r="N10" s="42"/>
    </row>
    <row r="11" spans="1:16" ht="17.25" customHeight="1">
      <c r="A11" s="158"/>
      <c r="B11" s="163"/>
      <c r="C11" s="164"/>
      <c r="D11" s="7"/>
      <c r="E11" s="39"/>
      <c r="F11" s="40"/>
      <c r="G11" s="40"/>
      <c r="H11" s="39"/>
      <c r="I11" s="41"/>
      <c r="J11" s="41"/>
      <c r="K11" s="42"/>
      <c r="L11" s="130"/>
      <c r="M11" s="42">
        <f t="shared" si="0"/>
        <v>0</v>
      </c>
      <c r="N11" s="42"/>
    </row>
    <row r="12" spans="1:16" ht="17.25" customHeight="1">
      <c r="A12" s="121"/>
      <c r="B12" s="48"/>
      <c r="C12" s="92"/>
      <c r="D12" s="92"/>
      <c r="E12" s="39"/>
      <c r="F12" s="40"/>
      <c r="G12" s="40"/>
      <c r="H12" s="39"/>
      <c r="I12" s="41"/>
      <c r="J12" s="41"/>
      <c r="K12" s="42"/>
      <c r="L12" s="130"/>
      <c r="M12" s="42">
        <f t="shared" si="0"/>
        <v>0</v>
      </c>
      <c r="N12" s="42"/>
    </row>
    <row r="13" spans="1:16" ht="17.25" customHeight="1">
      <c r="A13" s="121"/>
      <c r="B13" s="46"/>
      <c r="C13" s="92"/>
      <c r="D13" s="7"/>
      <c r="E13" s="39"/>
      <c r="F13" s="40"/>
      <c r="G13" s="40"/>
      <c r="H13" s="49"/>
      <c r="I13" s="41"/>
      <c r="J13" s="41"/>
      <c r="K13" s="42"/>
      <c r="L13" s="130"/>
      <c r="M13" s="42">
        <f t="shared" si="0"/>
        <v>0</v>
      </c>
      <c r="N13" s="42"/>
    </row>
    <row r="14" spans="1:16" ht="17.25" customHeight="1">
      <c r="A14" s="121"/>
      <c r="B14" s="48"/>
      <c r="C14" s="92"/>
      <c r="D14" s="7"/>
      <c r="E14" s="39"/>
      <c r="F14" s="40"/>
      <c r="G14" s="40"/>
      <c r="H14" s="49"/>
      <c r="I14" s="41"/>
      <c r="J14" s="43"/>
      <c r="K14" s="42"/>
      <c r="L14" s="130"/>
      <c r="M14" s="42">
        <f t="shared" si="0"/>
        <v>0</v>
      </c>
      <c r="N14" s="42"/>
    </row>
    <row r="15" spans="1:16" ht="17.25" customHeight="1">
      <c r="A15" s="47"/>
      <c r="B15" s="48"/>
      <c r="C15" s="39"/>
      <c r="D15" s="7"/>
      <c r="E15" s="39"/>
      <c r="F15" s="40"/>
      <c r="G15" s="40"/>
      <c r="H15" s="39"/>
      <c r="I15" s="41"/>
      <c r="J15" s="93"/>
      <c r="K15" s="42"/>
      <c r="L15" s="44"/>
      <c r="M15" s="42">
        <f t="shared" si="0"/>
        <v>0</v>
      </c>
      <c r="N15" s="42"/>
    </row>
    <row r="16" spans="1:16">
      <c r="A16" s="45"/>
      <c r="B16" s="48"/>
      <c r="C16" s="39"/>
      <c r="D16" s="7"/>
      <c r="E16" s="39"/>
      <c r="F16" s="40"/>
      <c r="G16" s="40"/>
      <c r="H16" s="39"/>
      <c r="I16" s="41"/>
      <c r="J16" s="43"/>
      <c r="K16" s="42"/>
      <c r="L16" s="44"/>
      <c r="M16" s="42">
        <f t="shared" si="0"/>
        <v>0</v>
      </c>
      <c r="N16" s="42"/>
    </row>
    <row r="17" spans="1:14">
      <c r="A17" s="90"/>
      <c r="B17" s="48"/>
      <c r="C17" s="39"/>
      <c r="D17" s="7"/>
      <c r="E17" s="39"/>
      <c r="F17" s="40"/>
      <c r="G17" s="40"/>
      <c r="H17" s="39"/>
      <c r="I17" s="41"/>
      <c r="J17" s="43"/>
      <c r="K17" s="42"/>
      <c r="L17" s="44"/>
      <c r="M17" s="42">
        <f t="shared" si="0"/>
        <v>0</v>
      </c>
      <c r="N17" s="42"/>
    </row>
    <row r="18" spans="1:14">
      <c r="A18" s="45"/>
      <c r="B18" s="48"/>
      <c r="C18" s="39"/>
      <c r="D18" s="7"/>
      <c r="E18" s="39"/>
      <c r="F18" s="40"/>
      <c r="G18" s="40"/>
      <c r="H18" s="49"/>
      <c r="I18" s="41"/>
      <c r="J18" s="43"/>
      <c r="K18" s="42"/>
      <c r="L18" s="44"/>
      <c r="M18" s="42">
        <f t="shared" si="0"/>
        <v>0</v>
      </c>
      <c r="N18" s="42"/>
    </row>
    <row r="19" spans="1:14">
      <c r="A19" s="47"/>
      <c r="B19" s="48"/>
      <c r="C19" s="39"/>
      <c r="D19" s="7"/>
      <c r="E19" s="39"/>
      <c r="F19" s="40"/>
      <c r="G19" s="40"/>
      <c r="H19" s="39"/>
      <c r="I19" s="41"/>
      <c r="J19" s="43"/>
      <c r="K19" s="42"/>
      <c r="L19" s="44"/>
      <c r="M19" s="42">
        <f t="shared" si="0"/>
        <v>0</v>
      </c>
      <c r="N19" s="42"/>
    </row>
    <row r="20" spans="1:14">
      <c r="A20" s="45"/>
      <c r="B20" s="48"/>
      <c r="C20" s="39"/>
      <c r="D20" s="7"/>
      <c r="E20" s="39"/>
      <c r="F20" s="40"/>
      <c r="G20" s="40"/>
      <c r="H20" s="39"/>
      <c r="I20" s="41"/>
      <c r="J20" s="43"/>
      <c r="K20" s="42"/>
      <c r="L20" s="44"/>
      <c r="M20" s="42">
        <f t="shared" si="0"/>
        <v>0</v>
      </c>
      <c r="N20" s="42"/>
    </row>
    <row r="21" spans="1:14">
      <c r="A21" s="45"/>
      <c r="B21" s="46"/>
      <c r="C21" s="39"/>
      <c r="D21" s="60"/>
      <c r="E21" s="39"/>
      <c r="F21" s="40"/>
      <c r="G21" s="40"/>
      <c r="H21" s="39"/>
      <c r="I21" s="41"/>
      <c r="J21" s="43"/>
      <c r="K21" s="42"/>
      <c r="L21" s="44"/>
      <c r="M21" s="42">
        <f t="shared" si="0"/>
        <v>0</v>
      </c>
      <c r="N21" s="42"/>
    </row>
    <row r="22" spans="1:14">
      <c r="A22" s="47"/>
      <c r="B22" s="48"/>
      <c r="C22" s="39"/>
      <c r="D22" s="60"/>
      <c r="E22" s="39"/>
      <c r="F22" s="40"/>
      <c r="G22" s="40"/>
      <c r="H22" s="39"/>
      <c r="I22" s="41"/>
      <c r="J22" s="43"/>
      <c r="K22" s="42"/>
      <c r="L22" s="44"/>
      <c r="M22" s="42">
        <f t="shared" si="0"/>
        <v>0</v>
      </c>
      <c r="N22" s="42"/>
    </row>
    <row r="23" spans="1:14">
      <c r="A23" s="45"/>
      <c r="B23" s="46"/>
      <c r="C23" s="39"/>
      <c r="D23" s="7"/>
      <c r="E23" s="39"/>
      <c r="F23" s="40"/>
      <c r="G23" s="40"/>
      <c r="H23" s="39"/>
      <c r="I23" s="41"/>
      <c r="J23" s="43"/>
      <c r="K23" s="42"/>
      <c r="L23" s="42"/>
      <c r="M23" s="42">
        <f t="shared" si="0"/>
        <v>0</v>
      </c>
      <c r="N23" s="42"/>
    </row>
    <row r="24" spans="1:14">
      <c r="A24" s="90"/>
      <c r="B24" s="91"/>
      <c r="C24" s="39"/>
      <c r="D24" s="95"/>
      <c r="E24" s="39"/>
      <c r="F24" s="40"/>
      <c r="G24" s="40"/>
      <c r="H24" s="39"/>
      <c r="I24" s="41"/>
      <c r="J24" s="43"/>
      <c r="K24" s="42"/>
      <c r="L24" s="42"/>
      <c r="M24" s="42">
        <f t="shared" si="0"/>
        <v>0</v>
      </c>
      <c r="N24" s="42"/>
    </row>
    <row r="25" spans="1:14">
      <c r="A25" s="45"/>
      <c r="B25" s="46"/>
      <c r="C25" s="39"/>
      <c r="D25" s="95"/>
      <c r="E25" s="39"/>
      <c r="F25" s="40"/>
      <c r="G25" s="40"/>
      <c r="H25" s="39"/>
      <c r="I25" s="41"/>
      <c r="J25" s="43"/>
      <c r="K25" s="42"/>
      <c r="L25" s="42"/>
      <c r="M25" s="42">
        <f t="shared" si="0"/>
        <v>0</v>
      </c>
      <c r="N25" s="42"/>
    </row>
    <row r="26" spans="1:14">
      <c r="A26" s="45"/>
      <c r="B26" s="46"/>
      <c r="C26" s="39"/>
      <c r="D26" s="95"/>
      <c r="E26" s="39"/>
      <c r="F26" s="40"/>
      <c r="G26" s="40"/>
      <c r="H26" s="39"/>
      <c r="I26" s="41"/>
      <c r="J26" s="43"/>
      <c r="K26" s="42"/>
      <c r="L26" s="42"/>
      <c r="M26" s="42">
        <f t="shared" si="0"/>
        <v>0</v>
      </c>
      <c r="N26" s="42"/>
    </row>
    <row r="27" spans="1:14">
      <c r="A27" s="45"/>
      <c r="B27" s="46"/>
      <c r="C27" s="39"/>
      <c r="D27" s="95"/>
      <c r="E27" s="39"/>
      <c r="F27" s="40"/>
      <c r="G27" s="40"/>
      <c r="H27" s="39"/>
      <c r="I27" s="41"/>
      <c r="J27" s="43"/>
      <c r="K27" s="42"/>
      <c r="L27" s="42"/>
      <c r="M27" s="42">
        <f t="shared" si="0"/>
        <v>0</v>
      </c>
      <c r="N27" s="42"/>
    </row>
    <row r="28" spans="1:14">
      <c r="A28" s="45"/>
      <c r="B28" s="46"/>
      <c r="C28" s="39"/>
      <c r="D28" s="95"/>
      <c r="E28" s="39"/>
      <c r="F28" s="40"/>
      <c r="G28" s="40"/>
      <c r="H28" s="39"/>
      <c r="I28" s="41"/>
      <c r="J28" s="43"/>
      <c r="K28" s="42"/>
      <c r="L28" s="42"/>
      <c r="M28" s="42">
        <f t="shared" si="0"/>
        <v>0</v>
      </c>
      <c r="N28" s="42"/>
    </row>
    <row r="29" spans="1:14">
      <c r="A29" s="45"/>
      <c r="B29" s="46"/>
      <c r="C29" s="39"/>
      <c r="D29" s="233"/>
      <c r="E29" s="39"/>
      <c r="F29" s="40"/>
      <c r="G29" s="40"/>
      <c r="H29" s="39"/>
      <c r="I29" s="41"/>
      <c r="J29" s="43"/>
      <c r="K29" s="42"/>
      <c r="L29" s="42"/>
      <c r="M29" s="42">
        <f t="shared" si="0"/>
        <v>0</v>
      </c>
      <c r="N29" s="42"/>
    </row>
    <row r="30" spans="1:14">
      <c r="A30" s="45"/>
      <c r="B30" s="46"/>
      <c r="C30" s="39"/>
      <c r="D30" s="39"/>
      <c r="E30" s="39"/>
      <c r="F30" s="40"/>
      <c r="G30" s="40"/>
      <c r="H30" s="39"/>
      <c r="I30" s="41"/>
      <c r="J30" s="43"/>
      <c r="K30" s="42"/>
      <c r="L30" s="42"/>
      <c r="M30" s="42">
        <f t="shared" si="0"/>
        <v>0</v>
      </c>
      <c r="N30" s="42"/>
    </row>
    <row r="31" spans="1:14">
      <c r="A31" s="45"/>
      <c r="B31" s="46"/>
      <c r="C31" s="39"/>
      <c r="D31" s="39"/>
      <c r="E31" s="39"/>
      <c r="F31" s="40"/>
      <c r="G31" s="40"/>
      <c r="H31" s="39"/>
      <c r="I31" s="41"/>
      <c r="J31" s="43"/>
      <c r="K31" s="42"/>
      <c r="L31" s="42"/>
      <c r="M31" s="42">
        <f t="shared" si="0"/>
        <v>0</v>
      </c>
      <c r="N31" s="42"/>
    </row>
    <row r="32" spans="1:14">
      <c r="A32" s="45"/>
      <c r="B32" s="46"/>
      <c r="C32" s="39"/>
      <c r="D32" s="95"/>
      <c r="E32" s="39"/>
      <c r="F32" s="40"/>
      <c r="G32" s="40"/>
      <c r="H32" s="39"/>
      <c r="I32" s="41"/>
      <c r="J32" s="43"/>
      <c r="K32" s="42"/>
      <c r="L32" s="42"/>
      <c r="M32" s="42">
        <f t="shared" si="0"/>
        <v>0</v>
      </c>
      <c r="N32" s="42"/>
    </row>
    <row r="33" spans="1:14">
      <c r="A33" s="45"/>
      <c r="B33" s="46"/>
      <c r="C33" s="39"/>
      <c r="D33" s="98"/>
      <c r="E33" s="39"/>
      <c r="F33" s="40"/>
      <c r="G33" s="40"/>
      <c r="H33" s="39"/>
      <c r="I33" s="41"/>
      <c r="J33" s="43"/>
      <c r="K33" s="42"/>
      <c r="L33" s="42"/>
      <c r="M33" s="42">
        <f t="shared" si="0"/>
        <v>0</v>
      </c>
      <c r="N33" s="42"/>
    </row>
    <row r="34" spans="1:14">
      <c r="A34" s="45"/>
      <c r="B34" s="46"/>
      <c r="C34" s="39"/>
      <c r="D34" s="95"/>
      <c r="E34" s="39"/>
      <c r="F34" s="40"/>
      <c r="G34" s="40"/>
      <c r="H34" s="39"/>
      <c r="I34" s="41"/>
      <c r="J34" s="43"/>
      <c r="K34" s="42"/>
      <c r="L34" s="42"/>
      <c r="M34" s="42">
        <f t="shared" si="0"/>
        <v>0</v>
      </c>
      <c r="N34" s="42"/>
    </row>
    <row r="35" spans="1:14">
      <c r="A35" s="45"/>
      <c r="B35" s="46"/>
      <c r="C35" s="39"/>
      <c r="D35" s="234"/>
      <c r="E35" s="39"/>
      <c r="F35" s="40"/>
      <c r="G35" s="40"/>
      <c r="H35" s="39"/>
      <c r="I35" s="41"/>
      <c r="J35" s="43"/>
      <c r="K35" s="42"/>
      <c r="L35" s="42"/>
      <c r="M35" s="42">
        <f t="shared" si="0"/>
        <v>0</v>
      </c>
      <c r="N35" s="42"/>
    </row>
    <row r="36" spans="1:14">
      <c r="A36" s="45"/>
      <c r="B36" s="46"/>
      <c r="C36" s="39"/>
      <c r="D36" s="95"/>
      <c r="E36" s="39"/>
      <c r="F36" s="40"/>
      <c r="G36" s="40"/>
      <c r="H36" s="39"/>
      <c r="I36" s="41"/>
      <c r="J36" s="43"/>
      <c r="K36" s="42"/>
      <c r="L36" s="42"/>
      <c r="M36" s="42">
        <f t="shared" si="0"/>
        <v>0</v>
      </c>
      <c r="N36" s="42"/>
    </row>
    <row r="37" spans="1:14">
      <c r="A37" s="45"/>
      <c r="B37" s="46"/>
      <c r="C37" s="39"/>
      <c r="D37" s="95"/>
      <c r="E37" s="39"/>
      <c r="F37" s="40"/>
      <c r="G37" s="40"/>
      <c r="H37" s="39"/>
      <c r="I37" s="41"/>
      <c r="J37" s="43"/>
      <c r="K37" s="42"/>
      <c r="L37" s="42"/>
      <c r="M37" s="42">
        <f t="shared" si="0"/>
        <v>0</v>
      </c>
      <c r="N37" s="42"/>
    </row>
    <row r="38" spans="1:14">
      <c r="A38" s="45"/>
      <c r="B38" s="46"/>
      <c r="C38" s="39"/>
      <c r="D38" s="233"/>
      <c r="E38" s="125"/>
      <c r="F38" s="40"/>
      <c r="G38" s="40"/>
      <c r="H38" s="125"/>
      <c r="I38" s="93"/>
      <c r="J38" s="183"/>
      <c r="K38" s="135"/>
      <c r="L38" s="135"/>
      <c r="M38" s="42">
        <f t="shared" si="0"/>
        <v>0</v>
      </c>
      <c r="N38" s="42"/>
    </row>
    <row r="39" spans="1:14">
      <c r="A39" s="235"/>
      <c r="B39" s="126"/>
      <c r="C39" s="125"/>
      <c r="D39" s="236"/>
      <c r="E39" s="125"/>
      <c r="F39" s="40"/>
      <c r="G39" s="40"/>
      <c r="H39" s="125"/>
      <c r="I39" s="93"/>
      <c r="J39" s="183"/>
      <c r="K39" s="135"/>
      <c r="L39" s="135"/>
      <c r="M39" s="42">
        <f t="shared" si="0"/>
        <v>0</v>
      </c>
      <c r="N39" s="42"/>
    </row>
    <row r="40" spans="1:14">
      <c r="A40" s="237"/>
      <c r="B40" s="238"/>
      <c r="C40" s="239"/>
      <c r="D40" s="238"/>
      <c r="E40" s="238"/>
      <c r="F40" s="238"/>
      <c r="G40" s="238"/>
      <c r="H40" s="238"/>
      <c r="J40" s="240"/>
      <c r="K40" s="241"/>
      <c r="L40" s="241"/>
      <c r="M40" s="242">
        <f>SUM(M2:M39)</f>
        <v>835</v>
      </c>
      <c r="N40" s="242">
        <f>SUM(N2:N39)</f>
        <v>60</v>
      </c>
    </row>
    <row r="41" spans="1:14">
      <c r="A41" s="237"/>
      <c r="B41" s="238"/>
      <c r="C41" s="239"/>
      <c r="D41" s="238"/>
      <c r="E41" s="238"/>
      <c r="F41" s="238"/>
      <c r="G41" s="238"/>
      <c r="H41" s="238"/>
      <c r="J41" s="240"/>
      <c r="K41" s="241"/>
      <c r="L41" s="241"/>
      <c r="M41" s="243"/>
    </row>
    <row r="42" spans="1:14">
      <c r="A42" s="237"/>
      <c r="B42" s="238"/>
      <c r="C42" s="239"/>
      <c r="D42" s="238"/>
      <c r="E42" s="238"/>
      <c r="F42" s="238"/>
      <c r="G42" s="238"/>
      <c r="H42" s="238"/>
      <c r="J42" s="240"/>
      <c r="K42" s="241"/>
      <c r="L42" s="241"/>
    </row>
    <row r="43" spans="1:14">
      <c r="C43" s="246"/>
    </row>
    <row r="44" spans="1:14">
      <c r="C44" s="246"/>
    </row>
    <row r="45" spans="1:14">
      <c r="C45" s="246"/>
    </row>
    <row r="46" spans="1:14">
      <c r="C46" s="246"/>
    </row>
    <row r="47" spans="1:14">
      <c r="C47" s="246"/>
    </row>
    <row r="48" spans="1:14">
      <c r="C48" s="246"/>
    </row>
    <row r="49" spans="3:3">
      <c r="C49" s="246"/>
    </row>
    <row r="50" spans="3:3">
      <c r="C50" s="246"/>
    </row>
    <row r="51" spans="3:3">
      <c r="C51" s="246"/>
    </row>
    <row r="52" spans="3:3">
      <c r="C52" s="246"/>
    </row>
    <row r="53" spans="3:3">
      <c r="C53" s="246"/>
    </row>
    <row r="54" spans="3:3">
      <c r="C54" s="246"/>
    </row>
    <row r="55" spans="3:3">
      <c r="C55" s="246"/>
    </row>
    <row r="56" spans="3:3">
      <c r="C56" s="246"/>
    </row>
    <row r="57" spans="3:3">
      <c r="C57" s="246"/>
    </row>
    <row r="58" spans="3:3">
      <c r="C58" s="246"/>
    </row>
    <row r="59" spans="3:3">
      <c r="C59" s="246"/>
    </row>
    <row r="60" spans="3:3">
      <c r="C60" s="246"/>
    </row>
    <row r="61" spans="3:3">
      <c r="C61" s="246"/>
    </row>
    <row r="62" spans="3:3">
      <c r="C62" s="246"/>
    </row>
    <row r="63" spans="3:3">
      <c r="C63" s="246"/>
    </row>
    <row r="64" spans="3:3">
      <c r="C64" s="246"/>
    </row>
    <row r="65" spans="3:3">
      <c r="C65" s="246"/>
    </row>
    <row r="66" spans="3:3">
      <c r="C66" s="246"/>
    </row>
    <row r="67" spans="3:3">
      <c r="C67" s="246"/>
    </row>
    <row r="68" spans="3:3">
      <c r="C68" s="246"/>
    </row>
    <row r="69" spans="3:3">
      <c r="C69" s="246"/>
    </row>
    <row r="70" spans="3:3">
      <c r="C70" s="246"/>
    </row>
    <row r="71" spans="3:3">
      <c r="C71" s="246"/>
    </row>
    <row r="72" spans="3:3">
      <c r="C72" s="246"/>
    </row>
    <row r="73" spans="3:3">
      <c r="C73" s="246"/>
    </row>
    <row r="74" spans="3:3">
      <c r="C74" s="246"/>
    </row>
    <row r="75" spans="3:3">
      <c r="C75" s="246"/>
    </row>
    <row r="76" spans="3:3">
      <c r="C76" s="246"/>
    </row>
    <row r="77" spans="3:3">
      <c r="C77" s="246"/>
    </row>
    <row r="78" spans="3:3">
      <c r="C78" s="246"/>
    </row>
    <row r="79" spans="3:3">
      <c r="C79" s="246"/>
    </row>
    <row r="80" spans="3:3">
      <c r="C80" s="246"/>
    </row>
    <row r="81" spans="3:3">
      <c r="C81" s="246"/>
    </row>
    <row r="82" spans="3:3">
      <c r="C82" s="246"/>
    </row>
    <row r="83" spans="3:3">
      <c r="C83" s="246"/>
    </row>
    <row r="84" spans="3:3">
      <c r="C84" s="246"/>
    </row>
    <row r="85" spans="3:3">
      <c r="C85" s="246"/>
    </row>
    <row r="86" spans="3:3">
      <c r="C86" s="246"/>
    </row>
    <row r="87" spans="3:3">
      <c r="C87" s="246"/>
    </row>
    <row r="88" spans="3:3">
      <c r="C88" s="246"/>
    </row>
    <row r="89" spans="3:3">
      <c r="C89" s="246"/>
    </row>
    <row r="90" spans="3:3">
      <c r="C90" s="246"/>
    </row>
    <row r="91" spans="3:3">
      <c r="C91" s="246"/>
    </row>
    <row r="92" spans="3:3">
      <c r="C92" s="246"/>
    </row>
    <row r="93" spans="3:3">
      <c r="C93" s="246"/>
    </row>
    <row r="94" spans="3:3">
      <c r="C94" s="246"/>
    </row>
    <row r="95" spans="3:3">
      <c r="C95" s="246"/>
    </row>
    <row r="96" spans="3:3">
      <c r="C96" s="246"/>
    </row>
    <row r="97" spans="3:3">
      <c r="C97" s="246"/>
    </row>
    <row r="98" spans="3:3">
      <c r="C98" s="246"/>
    </row>
    <row r="99" spans="3:3">
      <c r="C99" s="246"/>
    </row>
    <row r="100" spans="3:3">
      <c r="C100" s="246"/>
    </row>
    <row r="101" spans="3:3">
      <c r="C101" s="246"/>
    </row>
    <row r="102" spans="3:3">
      <c r="C102" s="246"/>
    </row>
    <row r="103" spans="3:3">
      <c r="C103" s="246"/>
    </row>
    <row r="104" spans="3:3">
      <c r="C104" s="246"/>
    </row>
    <row r="105" spans="3:3">
      <c r="C105" s="246"/>
    </row>
    <row r="106" spans="3:3">
      <c r="C106" s="246"/>
    </row>
    <row r="107" spans="3:3">
      <c r="C107" s="246"/>
    </row>
    <row r="108" spans="3:3">
      <c r="C108" s="246"/>
    </row>
    <row r="109" spans="3:3">
      <c r="C109" s="246"/>
    </row>
    <row r="110" spans="3:3">
      <c r="C110" s="246"/>
    </row>
    <row r="111" spans="3:3">
      <c r="C111" s="246"/>
    </row>
    <row r="112" spans="3:3">
      <c r="C112" s="246"/>
    </row>
    <row r="113" spans="3:3">
      <c r="C113" s="246"/>
    </row>
    <row r="114" spans="3:3">
      <c r="C114" s="246"/>
    </row>
    <row r="115" spans="3:3">
      <c r="C115" s="246"/>
    </row>
    <row r="116" spans="3:3">
      <c r="C116" s="246"/>
    </row>
    <row r="117" spans="3:3">
      <c r="C117" s="246"/>
    </row>
    <row r="118" spans="3:3">
      <c r="C118" s="246"/>
    </row>
    <row r="119" spans="3:3">
      <c r="C119" s="246"/>
    </row>
    <row r="120" spans="3:3">
      <c r="C120" s="246"/>
    </row>
    <row r="121" spans="3:3">
      <c r="C121" s="246"/>
    </row>
    <row r="122" spans="3:3">
      <c r="C122" s="246"/>
    </row>
    <row r="123" spans="3:3">
      <c r="C123" s="246"/>
    </row>
    <row r="124" spans="3:3">
      <c r="C124" s="246"/>
    </row>
    <row r="125" spans="3:3">
      <c r="C125" s="246"/>
    </row>
    <row r="126" spans="3:3">
      <c r="C126" s="246"/>
    </row>
    <row r="127" spans="3:3">
      <c r="C127" s="246"/>
    </row>
    <row r="128" spans="3:3">
      <c r="C128" s="246"/>
    </row>
    <row r="129" spans="3:3">
      <c r="C129" s="246"/>
    </row>
    <row r="130" spans="3:3">
      <c r="C130" s="246"/>
    </row>
    <row r="131" spans="3:3">
      <c r="C131" s="246"/>
    </row>
    <row r="132" spans="3:3">
      <c r="C132" s="246"/>
    </row>
    <row r="133" spans="3:3">
      <c r="C133" s="246"/>
    </row>
    <row r="134" spans="3:3">
      <c r="C134" s="246"/>
    </row>
  </sheetData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ECA4-1AD6-427C-B17E-09BF0555218C}">
  <dimension ref="A1:N134"/>
  <sheetViews>
    <sheetView zoomScale="80" zoomScaleNormal="80" workbookViewId="0">
      <selection activeCell="C16" sqref="C16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1" customFormat="1" ht="17.25" customHeight="1">
      <c r="A2" s="90" t="s">
        <v>492</v>
      </c>
      <c r="B2" s="46">
        <v>0.10069444444444445</v>
      </c>
      <c r="C2" s="92" t="s">
        <v>104</v>
      </c>
      <c r="D2" s="95" t="s">
        <v>480</v>
      </c>
      <c r="E2" s="39" t="s">
        <v>34</v>
      </c>
      <c r="F2" s="40">
        <v>0.10069444444444445</v>
      </c>
      <c r="G2" s="40">
        <v>0.12152777777777778</v>
      </c>
      <c r="H2" s="39"/>
      <c r="I2" s="41"/>
      <c r="J2" s="160" t="s">
        <v>35</v>
      </c>
      <c r="K2" s="176">
        <v>60</v>
      </c>
      <c r="L2" s="177">
        <v>400</v>
      </c>
      <c r="M2" s="42">
        <f t="shared" ref="M2:M38" si="0">SUM(K2:L2)</f>
        <v>460</v>
      </c>
      <c r="N2" s="42">
        <v>30</v>
      </c>
    </row>
    <row r="3" spans="1:14" s="111" customFormat="1" ht="17.25" customHeight="1">
      <c r="A3" s="90" t="s">
        <v>493</v>
      </c>
      <c r="B3" s="46">
        <v>0.11458333333333333</v>
      </c>
      <c r="C3" s="92" t="s">
        <v>494</v>
      </c>
      <c r="D3" s="95" t="s">
        <v>480</v>
      </c>
      <c r="E3" s="39" t="s">
        <v>34</v>
      </c>
      <c r="F3" s="40">
        <v>0.15763888888888888</v>
      </c>
      <c r="G3" s="40">
        <v>0.17708333333333334</v>
      </c>
      <c r="H3" s="39"/>
      <c r="I3" s="41"/>
      <c r="J3" s="160" t="s">
        <v>495</v>
      </c>
      <c r="K3" s="176">
        <v>95</v>
      </c>
      <c r="L3" s="177">
        <v>400</v>
      </c>
      <c r="M3" s="42">
        <f t="shared" si="0"/>
        <v>495</v>
      </c>
      <c r="N3" s="42">
        <v>30</v>
      </c>
    </row>
    <row r="4" spans="1:14" s="111" customFormat="1" ht="17.25" customHeight="1">
      <c r="A4" s="90" t="s">
        <v>493</v>
      </c>
      <c r="B4" s="46">
        <v>0.11458333333333333</v>
      </c>
      <c r="C4" s="92" t="s">
        <v>494</v>
      </c>
      <c r="D4" s="95" t="s">
        <v>496</v>
      </c>
      <c r="E4" s="39" t="s">
        <v>34</v>
      </c>
      <c r="F4" s="40">
        <v>0.15763888888888888</v>
      </c>
      <c r="G4" s="40">
        <v>0.17708333333333334</v>
      </c>
      <c r="H4" s="39"/>
      <c r="I4" s="41"/>
      <c r="J4" s="160" t="s">
        <v>495</v>
      </c>
      <c r="K4" s="176">
        <v>95</v>
      </c>
      <c r="L4" s="177">
        <v>400</v>
      </c>
      <c r="M4" s="42">
        <f t="shared" si="0"/>
        <v>495</v>
      </c>
      <c r="N4" s="42">
        <v>30</v>
      </c>
    </row>
    <row r="5" spans="1:14" s="111" customFormat="1" ht="17.25" customHeight="1">
      <c r="A5" s="158" t="s">
        <v>497</v>
      </c>
      <c r="B5" s="163">
        <v>0.15972222222222221</v>
      </c>
      <c r="C5" s="166" t="s">
        <v>104</v>
      </c>
      <c r="D5" s="159" t="s">
        <v>223</v>
      </c>
      <c r="E5" s="39" t="s">
        <v>34</v>
      </c>
      <c r="F5" s="40">
        <v>0.15972222222222221</v>
      </c>
      <c r="G5" s="40">
        <v>0.18055555555555555</v>
      </c>
      <c r="H5" s="39"/>
      <c r="I5" s="41"/>
      <c r="J5" s="160" t="s">
        <v>35</v>
      </c>
      <c r="K5" s="42">
        <v>60</v>
      </c>
      <c r="L5" s="44">
        <v>400</v>
      </c>
      <c r="M5" s="42">
        <f t="shared" si="0"/>
        <v>460</v>
      </c>
      <c r="N5" s="42">
        <v>30</v>
      </c>
    </row>
    <row r="6" spans="1:14" s="111" customFormat="1" ht="17.25" customHeight="1">
      <c r="A6" s="45" t="s">
        <v>498</v>
      </c>
      <c r="B6" s="46">
        <v>0.70486111111111116</v>
      </c>
      <c r="C6" s="100" t="s">
        <v>104</v>
      </c>
      <c r="D6" s="7" t="s">
        <v>480</v>
      </c>
      <c r="E6" s="39" t="s">
        <v>34</v>
      </c>
      <c r="F6" s="40">
        <v>0.70486111111111116</v>
      </c>
      <c r="G6" s="40">
        <v>0.72569444444444442</v>
      </c>
      <c r="H6" s="39"/>
      <c r="I6" s="41"/>
      <c r="J6" s="96"/>
      <c r="K6" s="42"/>
      <c r="L6" s="44">
        <v>400</v>
      </c>
      <c r="M6" s="42">
        <f t="shared" si="0"/>
        <v>400</v>
      </c>
      <c r="N6" s="42">
        <v>30</v>
      </c>
    </row>
    <row r="7" spans="1:14" s="111" customFormat="1" ht="17.25" customHeight="1">
      <c r="A7" s="45" t="s">
        <v>499</v>
      </c>
      <c r="B7" s="46">
        <v>0.73611111111111116</v>
      </c>
      <c r="C7" s="166" t="s">
        <v>102</v>
      </c>
      <c r="D7" s="159" t="s">
        <v>480</v>
      </c>
      <c r="E7" s="39" t="s">
        <v>34</v>
      </c>
      <c r="F7" s="40">
        <v>0.78194444444444444</v>
      </c>
      <c r="G7" s="40">
        <v>0.80694444444444446</v>
      </c>
      <c r="H7" s="39"/>
      <c r="I7" s="41"/>
      <c r="J7" s="96" t="s">
        <v>40</v>
      </c>
      <c r="K7" s="42">
        <v>35</v>
      </c>
      <c r="L7" s="44">
        <v>400</v>
      </c>
      <c r="M7" s="42">
        <f t="shared" si="0"/>
        <v>435</v>
      </c>
      <c r="N7" s="42">
        <v>30</v>
      </c>
    </row>
    <row r="8" spans="1:14" s="111" customFormat="1" ht="17.25" customHeight="1">
      <c r="A8" s="45" t="s">
        <v>499</v>
      </c>
      <c r="B8" s="46">
        <v>0.73611111111111116</v>
      </c>
      <c r="C8" s="166" t="s">
        <v>102</v>
      </c>
      <c r="D8" s="159" t="s">
        <v>223</v>
      </c>
      <c r="E8" s="39" t="s">
        <v>34</v>
      </c>
      <c r="F8" s="40">
        <v>0.78194444444444444</v>
      </c>
      <c r="G8" s="40">
        <v>0.80694444444444446</v>
      </c>
      <c r="H8" s="39"/>
      <c r="I8" s="41"/>
      <c r="J8" s="96" t="s">
        <v>40</v>
      </c>
      <c r="K8" s="42">
        <v>35</v>
      </c>
      <c r="L8" s="44">
        <v>400</v>
      </c>
      <c r="M8" s="42">
        <f t="shared" si="0"/>
        <v>435</v>
      </c>
      <c r="N8" s="42">
        <v>30</v>
      </c>
    </row>
    <row r="9" spans="1:14" s="111" customFormat="1" ht="17.25" customHeight="1">
      <c r="A9" s="47" t="s">
        <v>500</v>
      </c>
      <c r="B9" s="48">
        <v>0.71527777777777779</v>
      </c>
      <c r="C9" s="39" t="s">
        <v>104</v>
      </c>
      <c r="D9" s="7" t="s">
        <v>501</v>
      </c>
      <c r="E9" s="39" t="s">
        <v>34</v>
      </c>
      <c r="F9" s="40">
        <v>0.79861111111111116</v>
      </c>
      <c r="G9" s="165">
        <v>0.81944444444444442</v>
      </c>
      <c r="H9" s="39"/>
      <c r="I9" s="41"/>
      <c r="J9" s="368"/>
      <c r="K9" s="42"/>
      <c r="L9" s="44">
        <v>400</v>
      </c>
      <c r="M9" s="42">
        <f t="shared" si="0"/>
        <v>400</v>
      </c>
      <c r="N9" s="42">
        <v>30</v>
      </c>
    </row>
    <row r="10" spans="1:14" s="111" customFormat="1" ht="17.25" customHeight="1">
      <c r="A10" s="45" t="s">
        <v>502</v>
      </c>
      <c r="B10" s="48">
        <v>0.86111111111111116</v>
      </c>
      <c r="C10" s="39" t="s">
        <v>104</v>
      </c>
      <c r="D10" s="7" t="s">
        <v>223</v>
      </c>
      <c r="E10" s="39" t="s">
        <v>34</v>
      </c>
      <c r="F10" s="40">
        <v>0.86111111111111116</v>
      </c>
      <c r="G10" s="40">
        <v>0.88194444444444442</v>
      </c>
      <c r="H10" s="39"/>
      <c r="I10" s="41"/>
      <c r="J10" s="96"/>
      <c r="K10" s="42"/>
      <c r="L10" s="44">
        <v>400</v>
      </c>
      <c r="M10" s="42">
        <f t="shared" si="0"/>
        <v>400</v>
      </c>
      <c r="N10" s="42">
        <v>30</v>
      </c>
    </row>
    <row r="11" spans="1:14" ht="17.25" customHeight="1">
      <c r="A11" s="1"/>
      <c r="B11" s="52"/>
      <c r="C11" s="53"/>
      <c r="D11" s="19"/>
      <c r="E11" s="53"/>
      <c r="F11" s="54"/>
      <c r="G11" s="54"/>
      <c r="H11" s="53"/>
      <c r="I11" s="55"/>
      <c r="J11" s="56"/>
      <c r="K11" s="50"/>
      <c r="L11" s="57"/>
      <c r="M11" s="156">
        <f t="shared" si="0"/>
        <v>0</v>
      </c>
      <c r="N11" s="42"/>
    </row>
    <row r="12" spans="1:14" s="6" customFormat="1" ht="17.25" customHeight="1">
      <c r="A12" s="51"/>
      <c r="B12" s="52"/>
      <c r="C12" s="53"/>
      <c r="D12" s="19"/>
      <c r="E12" s="53"/>
      <c r="F12" s="54"/>
      <c r="G12" s="54"/>
      <c r="H12" s="58"/>
      <c r="I12" s="55"/>
      <c r="J12" s="56"/>
      <c r="K12" s="50"/>
      <c r="L12" s="57"/>
      <c r="M12" s="156">
        <f t="shared" si="0"/>
        <v>0</v>
      </c>
      <c r="N12" s="42"/>
    </row>
    <row r="13" spans="1:14" s="6" customFormat="1" ht="17.25" customHeight="1">
      <c r="A13" s="59"/>
      <c r="B13" s="52"/>
      <c r="C13" s="53"/>
      <c r="D13" s="19"/>
      <c r="E13" s="53"/>
      <c r="F13" s="54"/>
      <c r="G13" s="54"/>
      <c r="H13" s="53"/>
      <c r="I13" s="55"/>
      <c r="J13" s="56"/>
      <c r="K13" s="50"/>
      <c r="L13" s="57"/>
      <c r="M13" s="156">
        <f t="shared" si="0"/>
        <v>0</v>
      </c>
      <c r="N13" s="42"/>
    </row>
    <row r="14" spans="1:14" ht="17.25" customHeight="1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156">
        <f t="shared" si="0"/>
        <v>0</v>
      </c>
      <c r="N14" s="42"/>
    </row>
    <row r="15" spans="1:14" ht="17.25" customHeight="1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6">
        <f t="shared" si="0"/>
        <v>0</v>
      </c>
      <c r="N15" s="42"/>
    </row>
    <row r="16" spans="1:14" ht="17.25" customHeight="1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6">
        <f t="shared" si="0"/>
        <v>0</v>
      </c>
      <c r="N16" s="42"/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6">
        <f t="shared" si="0"/>
        <v>0</v>
      </c>
      <c r="N17" s="42"/>
    </row>
    <row r="18" spans="1:14" ht="17.25" customHeigh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 ht="17.25" customHeight="1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 ht="17.25" customHeight="1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 ht="17.25" customHeight="1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 ht="17.25" customHeight="1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 ht="17.25" customHeight="1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 ht="17.25" customHeight="1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 ht="17.25" customHeight="1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51"/>
      <c r="B30" s="62"/>
      <c r="C30" s="53"/>
      <c r="D30" s="64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6">
        <f t="shared" si="0"/>
        <v>0</v>
      </c>
      <c r="N31" s="42"/>
    </row>
    <row r="32" spans="1:14">
      <c r="A32" s="51"/>
      <c r="B32" s="62"/>
      <c r="C32" s="53"/>
      <c r="D32" s="9"/>
      <c r="E32" s="53"/>
      <c r="F32" s="61"/>
      <c r="G32" s="61"/>
      <c r="H32" s="53"/>
      <c r="I32" s="55"/>
      <c r="J32" s="56"/>
      <c r="K32" s="50"/>
      <c r="L32" s="50"/>
      <c r="M32" s="156">
        <f t="shared" si="0"/>
        <v>0</v>
      </c>
      <c r="N32" s="42"/>
    </row>
    <row r="33" spans="1:14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6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156">
        <f t="shared" si="0"/>
        <v>0</v>
      </c>
      <c r="N34" s="42"/>
    </row>
    <row r="35" spans="1:14">
      <c r="A35" s="51"/>
      <c r="B35" s="62"/>
      <c r="C35" s="53"/>
      <c r="D35" s="63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4"/>
      <c r="B38" s="15"/>
      <c r="C38" s="10"/>
      <c r="D38" s="16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3980</v>
      </c>
      <c r="N40" s="26">
        <f>SUM(N2:N39)</f>
        <v>270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1ABE-6A96-44E1-8468-90D204A79A07}">
  <dimension ref="A1:P134"/>
  <sheetViews>
    <sheetView zoomScale="60" zoomScaleNormal="60" workbookViewId="0">
      <selection activeCell="A40" sqref="A40"/>
    </sheetView>
  </sheetViews>
  <sheetFormatPr defaultColWidth="8.75" defaultRowHeight="15"/>
  <cols>
    <col min="1" max="1" width="9" style="29"/>
    <col min="2" max="2" width="10.875" customWidth="1"/>
    <col min="3" max="3" width="56.625" customWidth="1"/>
    <col min="4" max="4" width="25.25" customWidth="1"/>
    <col min="5" max="6" width="9" bestFit="1" customWidth="1"/>
    <col min="7" max="7" width="9.375" customWidth="1"/>
    <col min="8" max="8" width="11.5" bestFit="1" customWidth="1"/>
    <col min="9" max="9" width="9.5" customWidth="1"/>
    <col min="10" max="10" width="42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1" customFormat="1" ht="17.25" customHeight="1">
      <c r="A2" s="45"/>
      <c r="B2" s="46"/>
      <c r="C2" s="92"/>
      <c r="D2" s="7"/>
      <c r="E2" s="39"/>
      <c r="F2" s="40"/>
      <c r="G2" s="40"/>
      <c r="H2" s="39"/>
      <c r="I2" s="41"/>
      <c r="J2" s="175"/>
      <c r="K2" s="176"/>
      <c r="L2" s="177"/>
      <c r="M2" s="42">
        <f t="shared" ref="M2:M38" si="0">SUM(K2:L2)</f>
        <v>0</v>
      </c>
      <c r="N2" s="42"/>
    </row>
    <row r="3" spans="1:16" s="111" customFormat="1" ht="17.25" customHeight="1">
      <c r="A3" s="45"/>
      <c r="B3" s="48"/>
      <c r="C3" s="92"/>
      <c r="D3" s="7"/>
      <c r="E3" s="39"/>
      <c r="F3" s="40"/>
      <c r="G3" s="40"/>
      <c r="H3" s="39"/>
      <c r="I3" s="41"/>
      <c r="J3" s="175"/>
      <c r="K3" s="42"/>
      <c r="L3" s="44"/>
      <c r="M3" s="42">
        <f t="shared" si="0"/>
        <v>0</v>
      </c>
      <c r="N3" s="42"/>
    </row>
    <row r="4" spans="1:16" s="111" customFormat="1" ht="17.25" customHeight="1">
      <c r="A4" s="45"/>
      <c r="B4" s="48"/>
      <c r="C4" s="157"/>
      <c r="D4" s="159"/>
      <c r="E4" s="39"/>
      <c r="F4" s="40"/>
      <c r="G4" s="40"/>
      <c r="H4" s="39"/>
      <c r="I4" s="41"/>
      <c r="J4" s="175"/>
      <c r="K4" s="42"/>
      <c r="L4" s="44"/>
      <c r="M4" s="42">
        <f t="shared" si="0"/>
        <v>0</v>
      </c>
      <c r="N4" s="42"/>
    </row>
    <row r="5" spans="1:16" s="111" customFormat="1" ht="17.25" customHeight="1">
      <c r="A5" s="45"/>
      <c r="B5" s="48"/>
      <c r="C5" s="157"/>
      <c r="D5" s="159"/>
      <c r="E5" s="39"/>
      <c r="F5" s="40"/>
      <c r="G5" s="40"/>
      <c r="H5" s="39"/>
      <c r="I5" s="41"/>
      <c r="J5" s="175"/>
      <c r="K5" s="42"/>
      <c r="L5" s="44"/>
      <c r="M5" s="42">
        <f t="shared" si="0"/>
        <v>0</v>
      </c>
      <c r="N5" s="42"/>
    </row>
    <row r="6" spans="1:16" s="6" customFormat="1" ht="17.25" customHeight="1">
      <c r="A6" s="158"/>
      <c r="B6" s="163"/>
      <c r="C6" s="166"/>
      <c r="D6" s="7"/>
      <c r="E6" s="39"/>
      <c r="F6" s="40"/>
      <c r="G6" s="40"/>
      <c r="H6" s="39"/>
      <c r="I6" s="41"/>
      <c r="J6" s="175"/>
      <c r="K6" s="42"/>
      <c r="L6" s="44"/>
      <c r="M6" s="42">
        <f t="shared" si="0"/>
        <v>0</v>
      </c>
      <c r="N6" s="42"/>
      <c r="P6" s="111"/>
    </row>
    <row r="7" spans="1:16" s="6" customFormat="1" ht="17.25" customHeight="1">
      <c r="A7" s="45"/>
      <c r="B7" s="91"/>
      <c r="C7" s="100"/>
      <c r="D7" s="7"/>
      <c r="E7" s="39"/>
      <c r="F7" s="40"/>
      <c r="G7" s="40"/>
      <c r="H7" s="39"/>
      <c r="I7" s="41"/>
      <c r="J7" s="175"/>
      <c r="K7" s="176"/>
      <c r="L7" s="177"/>
      <c r="M7" s="42">
        <f t="shared" si="0"/>
        <v>0</v>
      </c>
      <c r="N7" s="42"/>
      <c r="P7" s="111"/>
    </row>
    <row r="8" spans="1:16" ht="17.25" customHeight="1">
      <c r="A8" s="45"/>
      <c r="B8" s="91"/>
      <c r="C8" s="100"/>
      <c r="D8" s="7"/>
      <c r="E8" s="39"/>
      <c r="F8" s="40"/>
      <c r="G8" s="40"/>
      <c r="H8" s="49"/>
      <c r="I8" s="41"/>
      <c r="J8" s="175"/>
      <c r="K8" s="42"/>
      <c r="L8" s="44"/>
      <c r="M8" s="42">
        <f t="shared" si="0"/>
        <v>0</v>
      </c>
      <c r="N8" s="42"/>
      <c r="P8" s="111"/>
    </row>
    <row r="9" spans="1:16" ht="17.25" customHeight="1">
      <c r="A9" s="313"/>
      <c r="B9" s="163"/>
      <c r="C9" s="166"/>
      <c r="D9" s="7"/>
      <c r="E9" s="39"/>
      <c r="F9" s="282"/>
      <c r="G9" s="282"/>
      <c r="H9" s="283"/>
      <c r="I9" s="284"/>
      <c r="J9" s="175"/>
      <c r="K9" s="286"/>
      <c r="L9" s="287"/>
      <c r="M9" s="42">
        <f t="shared" si="0"/>
        <v>0</v>
      </c>
      <c r="N9" s="42"/>
      <c r="P9" s="111"/>
    </row>
    <row r="10" spans="1:16" ht="17.25" customHeight="1">
      <c r="A10" s="51"/>
      <c r="B10" s="52"/>
      <c r="C10" s="53"/>
      <c r="D10" s="7"/>
      <c r="E10" s="53"/>
      <c r="F10" s="54"/>
      <c r="G10" s="54"/>
      <c r="H10" s="53"/>
      <c r="I10" s="55"/>
      <c r="J10" s="175"/>
      <c r="K10" s="50"/>
      <c r="L10" s="57"/>
      <c r="M10" s="156">
        <f t="shared" si="0"/>
        <v>0</v>
      </c>
      <c r="N10" s="42"/>
      <c r="P10" s="111"/>
    </row>
    <row r="11" spans="1:16" ht="17.25" customHeight="1">
      <c r="A11" s="1"/>
      <c r="B11" s="52"/>
      <c r="C11" s="53"/>
      <c r="D11" s="7"/>
      <c r="E11" s="53"/>
      <c r="F11" s="54"/>
      <c r="G11" s="54"/>
      <c r="H11" s="53"/>
      <c r="I11" s="55"/>
      <c r="J11" s="175"/>
      <c r="K11" s="50"/>
      <c r="L11" s="57"/>
      <c r="M11" s="156">
        <f t="shared" si="0"/>
        <v>0</v>
      </c>
      <c r="N11" s="42"/>
    </row>
    <row r="12" spans="1:16" s="6" customFormat="1" ht="17.25" customHeight="1">
      <c r="A12" s="365"/>
      <c r="B12" s="52"/>
      <c r="C12" s="53"/>
      <c r="D12" s="19"/>
      <c r="E12" s="53"/>
      <c r="F12" s="54"/>
      <c r="G12" s="54"/>
      <c r="H12" s="58"/>
      <c r="I12" s="55"/>
      <c r="J12" s="175"/>
      <c r="K12" s="50"/>
      <c r="L12" s="57"/>
      <c r="M12" s="156">
        <f t="shared" si="0"/>
        <v>0</v>
      </c>
      <c r="N12" s="42"/>
    </row>
    <row r="13" spans="1:16" s="6" customFormat="1" ht="17.25" customHeight="1">
      <c r="A13" s="59"/>
      <c r="B13" s="52"/>
      <c r="C13" s="53"/>
      <c r="D13" s="19"/>
      <c r="E13" s="53"/>
      <c r="F13" s="54"/>
      <c r="G13" s="54"/>
      <c r="H13" s="53"/>
      <c r="I13" s="55"/>
      <c r="J13" s="56"/>
      <c r="K13" s="50"/>
      <c r="L13" s="57"/>
      <c r="M13" s="156">
        <f t="shared" si="0"/>
        <v>0</v>
      </c>
      <c r="N13" s="42"/>
    </row>
    <row r="14" spans="1:16" ht="17.25" customHeight="1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156">
        <f t="shared" si="0"/>
        <v>0</v>
      </c>
      <c r="N14" s="42"/>
    </row>
    <row r="15" spans="1:16" ht="17.25" customHeight="1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6">
        <f t="shared" si="0"/>
        <v>0</v>
      </c>
      <c r="N15" s="42"/>
    </row>
    <row r="16" spans="1:16" ht="17.25" customHeight="1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6">
        <f t="shared" si="0"/>
        <v>0</v>
      </c>
      <c r="N16" s="42"/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6">
        <f t="shared" si="0"/>
        <v>0</v>
      </c>
      <c r="N17" s="42"/>
    </row>
    <row r="18" spans="1:14" ht="17.25" customHeigh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 ht="17.25" customHeight="1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 ht="17.25" customHeight="1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 ht="17.25" customHeight="1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 ht="17.25" customHeight="1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 ht="17.25" customHeight="1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51"/>
      <c r="B30" s="62"/>
      <c r="C30" s="53"/>
      <c r="D30" s="64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6">
        <f t="shared" si="0"/>
        <v>0</v>
      </c>
      <c r="N31" s="42"/>
    </row>
    <row r="32" spans="1:14">
      <c r="A32" s="51"/>
      <c r="B32" s="62"/>
      <c r="C32" s="53"/>
      <c r="D32" s="9"/>
      <c r="E32" s="53"/>
      <c r="F32" s="61"/>
      <c r="G32" s="61"/>
      <c r="H32" s="53"/>
      <c r="I32" s="55"/>
      <c r="J32" s="56"/>
      <c r="K32" s="50"/>
      <c r="L32" s="50"/>
      <c r="M32" s="156">
        <f t="shared" si="0"/>
        <v>0</v>
      </c>
      <c r="N32" s="42"/>
    </row>
    <row r="33" spans="1:14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6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156">
        <f t="shared" si="0"/>
        <v>0</v>
      </c>
      <c r="N34" s="42"/>
    </row>
    <row r="35" spans="1:14">
      <c r="A35" s="51"/>
      <c r="B35" s="62"/>
      <c r="C35" s="53"/>
      <c r="D35" s="63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4"/>
      <c r="B38" s="15"/>
      <c r="C38" s="10"/>
      <c r="D38" s="16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EC24-0D07-412D-A9D3-F6F1874C718C}">
  <dimension ref="A1:N134"/>
  <sheetViews>
    <sheetView tabSelected="1" zoomScale="65" zoomScaleNormal="65" workbookViewId="0">
      <selection activeCell="A40" sqref="A40"/>
    </sheetView>
  </sheetViews>
  <sheetFormatPr defaultColWidth="8.75" defaultRowHeight="15"/>
  <cols>
    <col min="1" max="1" width="9" style="29"/>
    <col min="2" max="2" width="9"/>
    <col min="3" max="3" width="56.6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6.2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1" customFormat="1" ht="17.25" customHeight="1">
      <c r="A2" s="313"/>
      <c r="B2" s="163"/>
      <c r="C2" s="166"/>
      <c r="D2" s="159"/>
      <c r="E2" s="164"/>
      <c r="F2" s="165"/>
      <c r="G2" s="165"/>
      <c r="H2" s="164"/>
      <c r="I2" s="160"/>
      <c r="J2" s="155"/>
      <c r="K2" s="156"/>
      <c r="L2" s="161"/>
      <c r="M2" s="42">
        <f t="shared" ref="M2:M38" si="0">SUM(K2:L2)</f>
        <v>0</v>
      </c>
      <c r="N2" s="42"/>
    </row>
    <row r="3" spans="1:14" s="111" customFormat="1" ht="17.25" customHeight="1">
      <c r="A3" s="45"/>
      <c r="B3" s="48"/>
      <c r="C3" s="92"/>
      <c r="D3" s="7"/>
      <c r="E3" s="39"/>
      <c r="F3" s="40"/>
      <c r="G3" s="40"/>
      <c r="H3" s="39"/>
      <c r="I3" s="41"/>
      <c r="J3" s="281"/>
      <c r="K3" s="176"/>
      <c r="L3" s="177"/>
      <c r="M3" s="42">
        <f t="shared" si="0"/>
        <v>0</v>
      </c>
      <c r="N3" s="42"/>
    </row>
    <row r="4" spans="1:14" s="111" customFormat="1" ht="17.25" customHeight="1">
      <c r="A4" s="45"/>
      <c r="B4" s="48"/>
      <c r="C4" s="92"/>
      <c r="D4" s="7"/>
      <c r="E4" s="39"/>
      <c r="F4" s="40"/>
      <c r="G4" s="40"/>
      <c r="H4" s="39"/>
      <c r="I4" s="41"/>
      <c r="J4" s="43"/>
      <c r="K4" s="42"/>
      <c r="L4" s="44"/>
      <c r="M4" s="42">
        <f t="shared" si="0"/>
        <v>0</v>
      </c>
      <c r="N4" s="42"/>
    </row>
    <row r="5" spans="1:14" s="111" customFormat="1" ht="17.25" customHeight="1">
      <c r="A5" s="45"/>
      <c r="B5" s="48"/>
      <c r="C5" s="92"/>
      <c r="D5" s="159"/>
      <c r="E5" s="164"/>
      <c r="F5" s="165"/>
      <c r="G5" s="165"/>
      <c r="H5" s="168"/>
      <c r="I5" s="160"/>
      <c r="J5" s="155"/>
      <c r="K5" s="156"/>
      <c r="L5" s="161"/>
      <c r="M5" s="42">
        <f t="shared" si="0"/>
        <v>0</v>
      </c>
      <c r="N5" s="42"/>
    </row>
    <row r="6" spans="1:14" s="111" customFormat="1" ht="17.25" customHeight="1">
      <c r="A6" s="313"/>
      <c r="B6" s="173"/>
      <c r="C6" s="164"/>
      <c r="D6" s="7"/>
      <c r="E6" s="39"/>
      <c r="F6" s="40"/>
      <c r="G6" s="40"/>
      <c r="H6" s="39"/>
      <c r="I6" s="41"/>
      <c r="J6" s="43"/>
      <c r="K6" s="42"/>
      <c r="L6" s="44"/>
      <c r="M6" s="42">
        <f t="shared" si="0"/>
        <v>0</v>
      </c>
      <c r="N6" s="42"/>
    </row>
    <row r="7" spans="1:14" s="111" customFormat="1" ht="17.25" customHeight="1">
      <c r="A7" s="45"/>
      <c r="B7" s="46"/>
      <c r="C7" s="39"/>
      <c r="D7" s="7"/>
      <c r="E7" s="39"/>
      <c r="F7" s="40"/>
      <c r="G7" s="40"/>
      <c r="H7" s="49"/>
      <c r="I7" s="41"/>
      <c r="J7" s="155"/>
      <c r="K7" s="42"/>
      <c r="L7" s="44"/>
      <c r="M7" s="42">
        <f t="shared" si="0"/>
        <v>0</v>
      </c>
      <c r="N7" s="42"/>
    </row>
    <row r="8" spans="1:14" s="111" customFormat="1" ht="17.25" customHeight="1">
      <c r="A8" s="45"/>
      <c r="B8" s="46"/>
      <c r="C8" s="39"/>
      <c r="D8" s="7"/>
      <c r="E8" s="39"/>
      <c r="F8" s="40"/>
      <c r="G8" s="40"/>
      <c r="H8" s="49"/>
      <c r="I8" s="41"/>
      <c r="J8" s="155"/>
      <c r="K8" s="42"/>
      <c r="L8" s="44"/>
      <c r="M8" s="42">
        <f t="shared" si="0"/>
        <v>0</v>
      </c>
      <c r="N8" s="42"/>
    </row>
    <row r="9" spans="1:14" s="111" customFormat="1" ht="17.25" customHeight="1">
      <c r="A9" s="47"/>
      <c r="B9" s="48"/>
      <c r="C9" s="39"/>
      <c r="D9" s="7"/>
      <c r="E9" s="39"/>
      <c r="F9" s="40"/>
      <c r="G9" s="40"/>
      <c r="H9" s="39"/>
      <c r="I9" s="41"/>
      <c r="J9" s="43"/>
      <c r="K9" s="42"/>
      <c r="L9" s="44"/>
      <c r="M9" s="42">
        <f t="shared" si="0"/>
        <v>0</v>
      </c>
      <c r="N9" s="42"/>
    </row>
    <row r="10" spans="1:14" s="111" customFormat="1" ht="17.25" customHeight="1">
      <c r="A10" s="45"/>
      <c r="B10" s="48"/>
      <c r="C10" s="39"/>
      <c r="D10" s="7"/>
      <c r="E10" s="39"/>
      <c r="F10" s="40"/>
      <c r="G10" s="40"/>
      <c r="H10" s="39"/>
      <c r="I10" s="41"/>
      <c r="J10" s="43"/>
      <c r="K10" s="42"/>
      <c r="L10" s="44"/>
      <c r="M10" s="42">
        <f t="shared" si="0"/>
        <v>0</v>
      </c>
      <c r="N10" s="42"/>
    </row>
    <row r="11" spans="1:14" s="111" customFormat="1" ht="17.25" customHeight="1">
      <c r="A11" s="90"/>
      <c r="B11" s="48"/>
      <c r="C11" s="39"/>
      <c r="D11" s="7"/>
      <c r="E11" s="39"/>
      <c r="F11" s="40"/>
      <c r="G11" s="40"/>
      <c r="H11" s="39"/>
      <c r="I11" s="41"/>
      <c r="J11" s="43"/>
      <c r="K11" s="42"/>
      <c r="L11" s="44"/>
      <c r="M11" s="42">
        <f t="shared" si="0"/>
        <v>0</v>
      </c>
      <c r="N11" s="42"/>
    </row>
    <row r="12" spans="1:14" s="6" customFormat="1" ht="17.25" customHeight="1">
      <c r="A12" s="51"/>
      <c r="B12" s="52"/>
      <c r="C12" s="53"/>
      <c r="D12" s="19"/>
      <c r="E12" s="53"/>
      <c r="F12" s="54"/>
      <c r="G12" s="54"/>
      <c r="H12" s="58"/>
      <c r="I12" s="55"/>
      <c r="J12" s="56"/>
      <c r="K12" s="50"/>
      <c r="L12" s="57"/>
      <c r="M12" s="156">
        <f t="shared" si="0"/>
        <v>0</v>
      </c>
      <c r="N12" s="42"/>
    </row>
    <row r="13" spans="1:14" s="6" customFormat="1" ht="17.25" customHeight="1">
      <c r="A13" s="59"/>
      <c r="B13" s="52"/>
      <c r="C13" s="53"/>
      <c r="D13" s="19"/>
      <c r="E13" s="53"/>
      <c r="F13" s="54"/>
      <c r="G13" s="54"/>
      <c r="H13" s="53"/>
      <c r="I13" s="55"/>
      <c r="J13" s="56"/>
      <c r="K13" s="50"/>
      <c r="L13" s="57"/>
      <c r="M13" s="156">
        <f t="shared" si="0"/>
        <v>0</v>
      </c>
      <c r="N13" s="42"/>
    </row>
    <row r="14" spans="1:14" ht="17.25" customHeight="1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156">
        <f t="shared" si="0"/>
        <v>0</v>
      </c>
      <c r="N14" s="42"/>
    </row>
    <row r="15" spans="1:14" ht="17.25" customHeight="1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6">
        <f t="shared" si="0"/>
        <v>0</v>
      </c>
      <c r="N15" s="42"/>
    </row>
    <row r="16" spans="1:14" ht="17.25" customHeight="1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6">
        <f t="shared" si="0"/>
        <v>0</v>
      </c>
      <c r="N16" s="42"/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6">
        <f t="shared" si="0"/>
        <v>0</v>
      </c>
      <c r="N17" s="42"/>
    </row>
    <row r="18" spans="1:14" ht="17.25" customHeigh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6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6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6">
        <f t="shared" si="0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6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6">
        <f t="shared" si="0"/>
        <v>0</v>
      </c>
      <c r="N22" s="42"/>
    </row>
    <row r="23" spans="1:14" ht="17.25" customHeight="1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6">
        <f t="shared" si="0"/>
        <v>0</v>
      </c>
      <c r="N23" s="42"/>
    </row>
    <row r="24" spans="1:14" ht="17.25" customHeight="1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6">
        <f t="shared" si="0"/>
        <v>0</v>
      </c>
      <c r="N24" s="42"/>
    </row>
    <row r="25" spans="1:14" ht="17.25" customHeight="1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6">
        <f t="shared" si="0"/>
        <v>0</v>
      </c>
      <c r="N25" s="42"/>
    </row>
    <row r="26" spans="1:14" ht="17.25" customHeight="1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6">
        <f t="shared" si="0"/>
        <v>0</v>
      </c>
      <c r="N26" s="42"/>
    </row>
    <row r="27" spans="1:14" ht="17.25" customHeight="1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6">
        <f t="shared" si="0"/>
        <v>0</v>
      </c>
      <c r="N27" s="42"/>
    </row>
    <row r="28" spans="1:14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6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6">
        <f t="shared" si="0"/>
        <v>0</v>
      </c>
      <c r="N29" s="42"/>
    </row>
    <row r="30" spans="1:14">
      <c r="A30" s="51"/>
      <c r="B30" s="62"/>
      <c r="C30" s="53"/>
      <c r="D30" s="64"/>
      <c r="E30" s="53"/>
      <c r="F30" s="61"/>
      <c r="G30" s="61"/>
      <c r="H30" s="53"/>
      <c r="I30" s="55"/>
      <c r="J30" s="56"/>
      <c r="K30" s="50"/>
      <c r="L30" s="50"/>
      <c r="M30" s="156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6">
        <f t="shared" si="0"/>
        <v>0</v>
      </c>
      <c r="N31" s="42"/>
    </row>
    <row r="32" spans="1:14">
      <c r="A32" s="51"/>
      <c r="B32" s="62"/>
      <c r="C32" s="53"/>
      <c r="D32" s="9"/>
      <c r="E32" s="53"/>
      <c r="F32" s="61"/>
      <c r="G32" s="61"/>
      <c r="H32" s="53"/>
      <c r="I32" s="55"/>
      <c r="J32" s="56"/>
      <c r="K32" s="50"/>
      <c r="L32" s="50"/>
      <c r="M32" s="156">
        <f t="shared" si="0"/>
        <v>0</v>
      </c>
      <c r="N32" s="42"/>
    </row>
    <row r="33" spans="1:14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6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156">
        <f t="shared" si="0"/>
        <v>0</v>
      </c>
      <c r="N34" s="42"/>
    </row>
    <row r="35" spans="1:14">
      <c r="A35" s="51"/>
      <c r="B35" s="62"/>
      <c r="C35" s="53"/>
      <c r="D35" s="63"/>
      <c r="E35" s="10"/>
      <c r="F35" s="61"/>
      <c r="G35" s="61"/>
      <c r="H35" s="10"/>
      <c r="I35" s="11"/>
      <c r="J35" s="13"/>
      <c r="K35" s="12"/>
      <c r="L35" s="12"/>
      <c r="M35" s="156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6">
        <f t="shared" si="0"/>
        <v>0</v>
      </c>
      <c r="N36" s="42"/>
    </row>
    <row r="37" spans="1:14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6">
        <f t="shared" si="0"/>
        <v>0</v>
      </c>
      <c r="N37" s="42"/>
    </row>
    <row r="38" spans="1:14">
      <c r="A38" s="14"/>
      <c r="B38" s="15"/>
      <c r="C38" s="10"/>
      <c r="D38" s="16"/>
      <c r="E38" s="10"/>
      <c r="F38" s="61"/>
      <c r="G38" s="61"/>
      <c r="H38" s="10"/>
      <c r="I38" s="11"/>
      <c r="J38" s="13"/>
      <c r="K38" s="12"/>
      <c r="L38" s="12"/>
      <c r="M38" s="156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81D7-741F-9844-AF0F-390018283746}">
  <dimension ref="A1:P137"/>
  <sheetViews>
    <sheetView zoomScaleNormal="100" zoomScaleSheetLayoutView="100" workbookViewId="0">
      <selection activeCell="B12" sqref="A1:B12"/>
    </sheetView>
  </sheetViews>
  <sheetFormatPr defaultRowHeight="15"/>
  <cols>
    <col min="4" max="11" width="9.75" customWidth="1"/>
  </cols>
  <sheetData>
    <row r="1" spans="1:16">
      <c r="A1" s="158"/>
      <c r="B1" s="373"/>
      <c r="C1" s="373"/>
      <c r="D1" s="198"/>
      <c r="E1" s="198"/>
      <c r="F1" s="198"/>
      <c r="G1" s="198"/>
      <c r="H1" s="198"/>
      <c r="I1" s="368"/>
      <c r="J1" s="374"/>
      <c r="K1" s="375"/>
      <c r="L1" s="376"/>
      <c r="M1" s="375"/>
      <c r="N1" s="332"/>
      <c r="O1" s="111"/>
      <c r="P1" s="111"/>
    </row>
    <row r="2" spans="1:16">
      <c r="A2" s="288"/>
      <c r="B2" s="380"/>
      <c r="C2" s="157"/>
      <c r="D2" s="300"/>
      <c r="E2" s="381"/>
      <c r="F2" s="165"/>
      <c r="G2" s="165"/>
      <c r="H2" s="382"/>
      <c r="I2" s="178"/>
      <c r="J2" s="155"/>
      <c r="K2" s="156"/>
      <c r="L2" s="161"/>
      <c r="M2" s="156"/>
      <c r="N2" s="156"/>
      <c r="O2" s="111"/>
      <c r="P2" s="111"/>
    </row>
    <row r="3" spans="1:16">
      <c r="A3" s="288"/>
      <c r="B3" s="380"/>
      <c r="C3" s="157"/>
      <c r="D3" s="300"/>
      <c r="E3" s="381"/>
      <c r="F3" s="165"/>
      <c r="G3" s="165"/>
      <c r="H3" s="382"/>
      <c r="I3" s="178"/>
      <c r="J3" s="155"/>
      <c r="K3" s="156"/>
      <c r="L3" s="161"/>
      <c r="M3" s="156"/>
      <c r="N3" s="156"/>
      <c r="O3" s="111"/>
      <c r="P3" s="111"/>
    </row>
    <row r="4" spans="1:16">
      <c r="A4" s="305"/>
      <c r="B4" s="306"/>
      <c r="C4" s="307"/>
      <c r="D4" s="367"/>
      <c r="E4" s="367"/>
      <c r="F4" s="387"/>
      <c r="G4" s="387"/>
      <c r="H4" s="367"/>
      <c r="I4" s="385"/>
      <c r="J4" s="160"/>
      <c r="K4" s="156"/>
      <c r="L4" s="161"/>
      <c r="M4" s="156"/>
      <c r="N4" s="156"/>
      <c r="O4" s="111"/>
      <c r="P4" s="111"/>
    </row>
    <row r="5" spans="1:16">
      <c r="A5" s="158"/>
      <c r="B5" s="167"/>
      <c r="C5" s="166"/>
      <c r="D5" s="395"/>
      <c r="E5" s="164"/>
      <c r="F5" s="165"/>
      <c r="G5" s="165"/>
      <c r="H5" s="164"/>
      <c r="I5" s="160"/>
      <c r="J5" s="155"/>
      <c r="K5" s="156"/>
      <c r="L5" s="161"/>
      <c r="M5" s="156"/>
      <c r="N5" s="156"/>
      <c r="O5" s="111"/>
      <c r="P5" s="111"/>
    </row>
    <row r="6" spans="1:16">
      <c r="A6" s="158"/>
      <c r="B6" s="163"/>
      <c r="C6" s="164"/>
      <c r="D6" s="396"/>
      <c r="E6" s="159"/>
      <c r="F6" s="397"/>
      <c r="G6" s="397"/>
      <c r="H6" s="398"/>
      <c r="I6" s="379"/>
      <c r="J6" s="399"/>
      <c r="K6" s="156"/>
      <c r="L6" s="161"/>
      <c r="M6" s="156"/>
      <c r="N6" s="156"/>
      <c r="O6" s="111"/>
      <c r="P6" s="111"/>
    </row>
    <row r="7" spans="1:16">
      <c r="A7" s="288"/>
      <c r="B7" s="197"/>
      <c r="C7" s="157"/>
      <c r="D7" s="396"/>
      <c r="E7" s="401"/>
      <c r="F7" s="308"/>
      <c r="G7" s="308"/>
      <c r="H7" s="164"/>
      <c r="I7" s="160"/>
      <c r="J7" s="160"/>
      <c r="K7" s="156"/>
      <c r="L7" s="161"/>
      <c r="M7" s="156"/>
      <c r="N7" s="156"/>
      <c r="O7" s="149"/>
      <c r="P7" s="149"/>
    </row>
    <row r="8" spans="1:16">
      <c r="A8" s="402"/>
      <c r="B8" s="321"/>
      <c r="C8" s="322"/>
      <c r="D8" s="159"/>
      <c r="E8" s="322"/>
      <c r="F8" s="377"/>
      <c r="G8" s="377"/>
      <c r="H8" s="322"/>
      <c r="I8" s="378"/>
      <c r="J8" s="155"/>
      <c r="K8" s="403"/>
      <c r="L8" s="161"/>
      <c r="M8" s="156"/>
      <c r="N8" s="156"/>
      <c r="O8" s="404"/>
      <c r="P8" s="402"/>
    </row>
    <row r="9" spans="1:16">
      <c r="A9" s="319"/>
      <c r="B9" s="405"/>
      <c r="C9" s="298"/>
      <c r="D9" s="159"/>
      <c r="E9" s="157"/>
      <c r="F9" s="308"/>
      <c r="G9" s="308"/>
      <c r="H9" s="157"/>
      <c r="I9" s="178"/>
      <c r="J9" s="160"/>
      <c r="K9" s="156"/>
      <c r="L9" s="161"/>
      <c r="M9" s="156"/>
      <c r="N9" s="156"/>
      <c r="O9" s="111"/>
      <c r="P9" s="111"/>
    </row>
    <row r="10" spans="1:16">
      <c r="A10" s="319"/>
      <c r="B10" s="405"/>
      <c r="C10" s="157"/>
      <c r="D10" s="166"/>
      <c r="E10" s="406"/>
      <c r="F10" s="262"/>
      <c r="G10" s="262"/>
      <c r="H10" s="367"/>
      <c r="I10" s="385"/>
      <c r="J10" s="385"/>
      <c r="K10" s="214"/>
      <c r="L10" s="383"/>
      <c r="M10" s="156"/>
      <c r="N10" s="156"/>
      <c r="O10" s="111"/>
      <c r="P10" s="111"/>
    </row>
    <row r="11" spans="1:16">
      <c r="A11" s="158"/>
      <c r="B11" s="163"/>
      <c r="C11" s="164"/>
      <c r="D11" s="159"/>
      <c r="E11" s="164"/>
      <c r="F11" s="165"/>
      <c r="G11" s="165"/>
      <c r="H11" s="164"/>
      <c r="I11" s="160"/>
      <c r="J11" s="155"/>
      <c r="K11" s="156"/>
      <c r="L11" s="161"/>
      <c r="M11" s="156"/>
      <c r="N11" s="156"/>
      <c r="O11" s="111"/>
      <c r="P11" s="111"/>
    </row>
    <row r="12" spans="1:16">
      <c r="A12" s="158"/>
      <c r="B12" s="167"/>
      <c r="C12" s="157"/>
      <c r="D12" s="159"/>
      <c r="E12" s="164"/>
      <c r="F12" s="165"/>
      <c r="G12" s="165"/>
      <c r="H12" s="164"/>
      <c r="I12" s="160"/>
      <c r="J12" s="155"/>
      <c r="K12" s="156"/>
      <c r="L12" s="161"/>
      <c r="M12" s="156"/>
      <c r="N12" s="156"/>
    </row>
    <row r="13" spans="1:16">
      <c r="A13" s="158"/>
      <c r="B13" s="163"/>
      <c r="C13" s="166"/>
      <c r="D13" s="159"/>
      <c r="E13" s="164"/>
      <c r="F13" s="165"/>
      <c r="G13" s="165"/>
      <c r="H13" s="164"/>
      <c r="I13" s="160"/>
      <c r="J13" s="155"/>
      <c r="K13" s="156"/>
      <c r="L13" s="161"/>
      <c r="M13" s="156"/>
      <c r="N13" s="156"/>
    </row>
    <row r="14" spans="1:16">
      <c r="A14" s="158"/>
      <c r="B14" s="163"/>
      <c r="C14" s="166"/>
      <c r="D14" s="159"/>
      <c r="E14" s="164"/>
      <c r="F14" s="165"/>
      <c r="G14" s="165"/>
      <c r="H14" s="164"/>
      <c r="I14" s="160"/>
      <c r="J14" s="155"/>
      <c r="K14" s="156"/>
      <c r="L14" s="161"/>
      <c r="M14" s="156"/>
      <c r="N14" s="156"/>
    </row>
    <row r="15" spans="1:16">
      <c r="A15" s="158"/>
      <c r="B15" s="163"/>
      <c r="C15" s="166"/>
      <c r="D15" s="159"/>
      <c r="E15" s="265"/>
      <c r="F15" s="165"/>
      <c r="G15" s="165"/>
      <c r="H15" s="164"/>
      <c r="I15" s="160"/>
      <c r="J15" s="160"/>
      <c r="K15" s="156"/>
      <c r="L15" s="161"/>
      <c r="M15" s="156"/>
      <c r="N15" s="156"/>
      <c r="O15" s="402"/>
      <c r="P15" s="402"/>
    </row>
    <row r="16" spans="1:16">
      <c r="A16" s="158"/>
      <c r="B16" s="163"/>
      <c r="C16" s="166"/>
      <c r="D16" s="159"/>
      <c r="E16" s="367"/>
      <c r="F16" s="165"/>
      <c r="G16" s="165"/>
      <c r="H16" s="367"/>
      <c r="I16" s="385"/>
      <c r="J16" s="155"/>
      <c r="K16" s="156"/>
      <c r="L16" s="161"/>
      <c r="M16" s="156"/>
      <c r="N16" s="156"/>
      <c r="O16" s="6"/>
      <c r="P16" s="6"/>
    </row>
    <row r="17" spans="1:16">
      <c r="A17" s="158"/>
      <c r="B17" s="163"/>
      <c r="C17" s="166"/>
      <c r="D17" s="159"/>
      <c r="E17" s="164"/>
      <c r="F17" s="165"/>
      <c r="G17" s="165"/>
      <c r="H17" s="164"/>
      <c r="I17" s="160"/>
      <c r="J17" s="160"/>
      <c r="K17" s="156"/>
      <c r="L17" s="161"/>
      <c r="M17" s="156"/>
      <c r="N17" s="156"/>
      <c r="O17" s="111"/>
      <c r="P17" s="111"/>
    </row>
    <row r="18" spans="1:16">
      <c r="A18" s="305"/>
      <c r="B18" s="306"/>
      <c r="C18" s="307"/>
      <c r="D18" s="159"/>
      <c r="E18" s="367"/>
      <c r="F18" s="407"/>
      <c r="G18" s="408"/>
      <c r="H18" s="409"/>
      <c r="I18" s="400"/>
      <c r="J18" s="175"/>
      <c r="K18" s="410"/>
      <c r="L18" s="383"/>
      <c r="M18" s="214"/>
      <c r="N18" s="156"/>
      <c r="O18" s="111"/>
      <c r="P18" s="304"/>
    </row>
    <row r="19" spans="1:16">
      <c r="A19" s="313"/>
      <c r="B19" s="173"/>
      <c r="C19" s="164"/>
      <c r="D19" s="334"/>
      <c r="E19" s="164"/>
      <c r="F19" s="165"/>
      <c r="G19" s="165"/>
      <c r="H19" s="164"/>
      <c r="I19" s="160"/>
      <c r="J19" s="155"/>
      <c r="K19" s="156"/>
      <c r="L19" s="161"/>
      <c r="M19" s="286"/>
      <c r="N19" s="156"/>
    </row>
    <row r="20" spans="1:16">
      <c r="A20" s="305"/>
      <c r="B20" s="306"/>
      <c r="C20" s="307"/>
      <c r="D20" s="159"/>
      <c r="E20" s="367"/>
      <c r="F20" s="387"/>
      <c r="G20" s="387"/>
      <c r="H20" s="367"/>
      <c r="I20" s="385"/>
      <c r="J20" s="175"/>
      <c r="K20" s="176"/>
      <c r="L20" s="176"/>
      <c r="M20" s="156"/>
      <c r="N20" s="156"/>
      <c r="O20" s="279"/>
      <c r="P20" s="279"/>
    </row>
    <row r="21" spans="1:16">
      <c r="A21" s="313"/>
      <c r="B21" s="167"/>
      <c r="C21" s="164"/>
      <c r="D21" s="159"/>
      <c r="E21" s="164"/>
      <c r="F21" s="165"/>
      <c r="G21" s="165"/>
      <c r="H21" s="164"/>
      <c r="I21" s="160"/>
      <c r="J21" s="155"/>
      <c r="K21" s="156"/>
      <c r="L21" s="156"/>
      <c r="M21" s="286"/>
      <c r="N21" s="156"/>
      <c r="O21" s="278"/>
      <c r="P21" s="278"/>
    </row>
    <row r="22" spans="1:16">
      <c r="A22" s="166"/>
      <c r="B22" s="167"/>
      <c r="C22" s="166"/>
      <c r="D22" s="170"/>
      <c r="E22" s="164"/>
      <c r="F22" s="165"/>
      <c r="G22" s="165"/>
      <c r="H22" s="164"/>
      <c r="I22" s="160"/>
      <c r="J22" s="372"/>
      <c r="K22" s="156"/>
      <c r="L22" s="161"/>
      <c r="M22" s="156"/>
      <c r="N22" s="156"/>
      <c r="O22" s="111"/>
      <c r="P22" s="111"/>
    </row>
    <row r="23" spans="1:16">
      <c r="A23" s="158"/>
      <c r="B23" s="173"/>
      <c r="C23" s="157"/>
      <c r="D23" s="159"/>
      <c r="E23" s="164"/>
      <c r="F23" s="165"/>
      <c r="G23" s="165"/>
      <c r="H23" s="164"/>
      <c r="I23" s="160"/>
      <c r="J23" s="160"/>
      <c r="K23" s="176"/>
      <c r="L23" s="177"/>
      <c r="M23" s="156"/>
      <c r="N23" s="156"/>
      <c r="O23" s="111"/>
      <c r="P23" s="111"/>
    </row>
    <row r="24" spans="1:16">
      <c r="A24" s="158"/>
      <c r="B24" s="163"/>
      <c r="C24" s="166"/>
      <c r="D24" s="159"/>
      <c r="E24" s="164"/>
      <c r="F24" s="165"/>
      <c r="G24" s="165"/>
      <c r="H24" s="164"/>
      <c r="I24" s="160"/>
      <c r="J24" s="160"/>
      <c r="K24" s="156"/>
      <c r="L24" s="161"/>
      <c r="M24" s="156"/>
      <c r="N24" s="156"/>
      <c r="O24" s="111"/>
      <c r="P24" s="111"/>
    </row>
    <row r="25" spans="1:16">
      <c r="A25" s="313"/>
      <c r="B25" s="173"/>
      <c r="C25" s="166"/>
      <c r="D25" s="159"/>
      <c r="E25" s="164"/>
      <c r="F25" s="165"/>
      <c r="G25" s="165"/>
      <c r="H25" s="164"/>
      <c r="I25" s="160"/>
      <c r="J25" s="368"/>
      <c r="K25" s="156"/>
      <c r="L25" s="161"/>
      <c r="M25" s="156"/>
      <c r="N25" s="156"/>
      <c r="O25" s="111"/>
      <c r="P25" s="111"/>
    </row>
    <row r="26" spans="1:16">
      <c r="A26" s="313"/>
      <c r="B26" s="173"/>
      <c r="C26" s="166"/>
      <c r="D26" s="159"/>
      <c r="E26" s="164"/>
      <c r="F26" s="165"/>
      <c r="G26" s="165"/>
      <c r="H26" s="164"/>
      <c r="I26" s="160"/>
      <c r="J26" s="368"/>
      <c r="K26" s="156"/>
      <c r="L26" s="161"/>
      <c r="M26" s="156"/>
      <c r="N26" s="156"/>
      <c r="O26" s="111"/>
      <c r="P26" s="111"/>
    </row>
    <row r="27" spans="1:16">
      <c r="A27" s="313"/>
      <c r="B27" s="173"/>
      <c r="C27" s="157"/>
      <c r="D27" s="159"/>
      <c r="E27" s="164"/>
      <c r="F27" s="165"/>
      <c r="G27" s="165"/>
      <c r="H27" s="164"/>
      <c r="I27" s="160"/>
      <c r="J27" s="175"/>
      <c r="K27" s="176"/>
      <c r="L27" s="177"/>
      <c r="M27" s="156"/>
      <c r="N27" s="156"/>
      <c r="O27" s="111"/>
      <c r="P27" s="111"/>
    </row>
    <row r="28" spans="1:16">
      <c r="A28" s="313"/>
      <c r="B28" s="167"/>
      <c r="C28" s="157"/>
      <c r="D28" s="159"/>
      <c r="E28" s="164"/>
      <c r="F28" s="165"/>
      <c r="G28" s="165"/>
      <c r="H28" s="164"/>
      <c r="I28" s="160"/>
      <c r="J28" s="175"/>
      <c r="K28" s="156"/>
      <c r="L28" s="161"/>
      <c r="M28" s="156"/>
      <c r="N28" s="156"/>
      <c r="O28" s="111"/>
      <c r="P28" s="111"/>
    </row>
    <row r="29" spans="1:16">
      <c r="A29" s="315"/>
      <c r="B29" s="316"/>
      <c r="C29" s="283"/>
      <c r="D29" s="159"/>
      <c r="E29" s="283"/>
      <c r="F29" s="282"/>
      <c r="G29" s="282"/>
      <c r="H29" s="283"/>
      <c r="I29" s="284"/>
      <c r="J29" s="175"/>
      <c r="K29" s="286"/>
      <c r="L29" s="287"/>
      <c r="M29" s="286"/>
      <c r="N29" s="156"/>
      <c r="P29" s="111"/>
    </row>
    <row r="30" spans="1:16">
      <c r="A30" s="313"/>
      <c r="B30" s="163"/>
      <c r="C30" s="166"/>
      <c r="D30" s="159"/>
      <c r="E30" s="164"/>
      <c r="F30" s="165"/>
      <c r="G30" s="165"/>
      <c r="H30" s="164"/>
      <c r="I30" s="160"/>
      <c r="J30" s="155"/>
      <c r="K30" s="156"/>
      <c r="L30" s="161"/>
      <c r="M30" s="156"/>
      <c r="N30" s="156"/>
      <c r="O30" s="111"/>
      <c r="P30" s="111"/>
    </row>
    <row r="31" spans="1:16">
      <c r="A31" s="313"/>
      <c r="B31" s="167"/>
      <c r="C31" s="157"/>
      <c r="D31" s="159"/>
      <c r="E31" s="164"/>
      <c r="F31" s="165"/>
      <c r="G31" s="165"/>
      <c r="H31" s="164"/>
      <c r="I31" s="160"/>
      <c r="J31" s="155"/>
      <c r="K31" s="156"/>
      <c r="L31" s="161"/>
      <c r="M31" s="156"/>
      <c r="N31" s="156"/>
      <c r="O31" s="111"/>
      <c r="P31" s="111"/>
    </row>
    <row r="32" spans="1:16">
      <c r="A32" s="313"/>
      <c r="B32" s="167"/>
      <c r="C32" s="157"/>
      <c r="D32" s="159"/>
      <c r="E32" s="164"/>
      <c r="F32" s="165"/>
      <c r="G32" s="165"/>
      <c r="H32" s="164"/>
      <c r="I32" s="160"/>
      <c r="J32" s="155"/>
      <c r="K32" s="156"/>
      <c r="L32" s="161"/>
      <c r="M32" s="156"/>
      <c r="N32" s="156"/>
      <c r="O32" s="111"/>
      <c r="P32" s="111"/>
    </row>
    <row r="33" spans="1:16">
      <c r="A33" s="386"/>
      <c r="B33" s="387"/>
      <c r="C33" s="367"/>
      <c r="D33" s="198"/>
      <c r="E33" s="367"/>
      <c r="F33" s="165"/>
      <c r="G33" s="165"/>
      <c r="H33" s="367"/>
      <c r="I33" s="385"/>
      <c r="J33" s="312"/>
      <c r="K33" s="214"/>
      <c r="L33" s="214"/>
      <c r="M33" s="156"/>
      <c r="N33" s="156"/>
      <c r="O33" s="111"/>
      <c r="P33" s="111"/>
    </row>
    <row r="34" spans="1:16">
      <c r="A34" s="386"/>
      <c r="B34" s="387"/>
      <c r="C34" s="367"/>
      <c r="D34" s="388"/>
      <c r="E34" s="367"/>
      <c r="F34" s="165"/>
      <c r="G34" s="165"/>
      <c r="H34" s="367"/>
      <c r="I34" s="385"/>
      <c r="J34" s="312"/>
      <c r="K34" s="214"/>
      <c r="L34" s="214"/>
      <c r="M34" s="156"/>
      <c r="N34" s="156"/>
      <c r="O34" s="111"/>
      <c r="P34" s="111"/>
    </row>
    <row r="35" spans="1:16">
      <c r="A35" s="386"/>
      <c r="B35" s="387"/>
      <c r="C35" s="367"/>
      <c r="D35" s="388"/>
      <c r="E35" s="367"/>
      <c r="F35" s="165"/>
      <c r="G35" s="165"/>
      <c r="H35" s="367"/>
      <c r="I35" s="385"/>
      <c r="J35" s="312"/>
      <c r="K35" s="214"/>
      <c r="L35" s="214"/>
      <c r="M35" s="156"/>
      <c r="N35" s="156"/>
      <c r="O35" s="111"/>
      <c r="P35" s="111"/>
    </row>
    <row r="36" spans="1:16">
      <c r="A36" s="386"/>
      <c r="B36" s="387"/>
      <c r="C36" s="367"/>
      <c r="D36" s="198"/>
      <c r="E36" s="367"/>
      <c r="F36" s="165"/>
      <c r="G36" s="165"/>
      <c r="H36" s="367"/>
      <c r="I36" s="385"/>
      <c r="J36" s="312"/>
      <c r="K36" s="214"/>
      <c r="L36" s="214"/>
      <c r="M36" s="156"/>
      <c r="N36" s="156"/>
      <c r="O36" s="111"/>
      <c r="P36" s="111"/>
    </row>
    <row r="37" spans="1:16">
      <c r="A37" s="305"/>
      <c r="B37" s="306"/>
      <c r="C37" s="367"/>
      <c r="D37" s="159"/>
      <c r="E37" s="367"/>
      <c r="F37" s="165"/>
      <c r="G37" s="165"/>
      <c r="H37" s="367"/>
      <c r="I37" s="385"/>
      <c r="J37" s="312"/>
      <c r="K37" s="214"/>
      <c r="L37" s="214"/>
      <c r="M37" s="156"/>
      <c r="N37" s="156"/>
      <c r="O37" s="111"/>
      <c r="P37" s="111"/>
    </row>
    <row r="38" spans="1:16">
      <c r="A38" s="305"/>
      <c r="B38" s="306"/>
      <c r="C38" s="367"/>
      <c r="D38" s="159"/>
      <c r="E38" s="367"/>
      <c r="F38" s="165"/>
      <c r="G38" s="165"/>
      <c r="H38" s="367"/>
      <c r="I38" s="385"/>
      <c r="J38" s="312"/>
      <c r="K38" s="214"/>
      <c r="L38" s="214"/>
      <c r="M38" s="156"/>
      <c r="N38" s="156"/>
      <c r="O38" s="111"/>
      <c r="P38" s="111"/>
    </row>
    <row r="39" spans="1:16">
      <c r="A39" s="305"/>
      <c r="B39" s="306"/>
      <c r="C39" s="367"/>
      <c r="D39" s="159"/>
      <c r="E39" s="367"/>
      <c r="F39" s="165"/>
      <c r="G39" s="165"/>
      <c r="H39" s="367"/>
      <c r="I39" s="385"/>
      <c r="J39" s="312"/>
      <c r="K39" s="214"/>
      <c r="L39" s="214"/>
      <c r="M39" s="156"/>
      <c r="N39" s="156"/>
      <c r="O39" s="111"/>
      <c r="P39" s="111"/>
    </row>
    <row r="40" spans="1:16">
      <c r="A40" s="386"/>
      <c r="B40" s="387"/>
      <c r="C40" s="367"/>
      <c r="D40" s="384"/>
      <c r="E40" s="367"/>
      <c r="F40" s="165"/>
      <c r="G40" s="165"/>
      <c r="H40" s="367"/>
      <c r="I40" s="385"/>
      <c r="J40" s="312"/>
      <c r="K40" s="214"/>
      <c r="L40" s="214"/>
      <c r="M40" s="156"/>
      <c r="N40" s="156"/>
      <c r="O40" s="111"/>
      <c r="P40" s="111"/>
    </row>
    <row r="41" spans="1:16">
      <c r="A41" s="386"/>
      <c r="B41" s="387"/>
      <c r="C41" s="164"/>
      <c r="D41" s="384"/>
      <c r="E41" s="164"/>
      <c r="F41" s="173"/>
      <c r="G41" s="173"/>
      <c r="H41" s="164"/>
      <c r="I41" s="160"/>
      <c r="J41" s="155"/>
      <c r="K41" s="156"/>
      <c r="L41" s="156"/>
      <c r="M41" s="156"/>
      <c r="N41" s="156"/>
      <c r="O41" s="111"/>
      <c r="P41" s="111"/>
    </row>
    <row r="42" spans="1:16">
      <c r="A42" s="389"/>
      <c r="B42" s="390"/>
      <c r="C42" s="391"/>
      <c r="D42" s="390"/>
      <c r="E42" s="390"/>
      <c r="F42" s="390"/>
      <c r="G42" s="390"/>
      <c r="H42" s="390"/>
      <c r="I42" s="392"/>
      <c r="J42" s="393"/>
      <c r="K42" s="394"/>
      <c r="L42" s="394"/>
      <c r="M42" s="394"/>
      <c r="N42" s="156"/>
      <c r="O42" s="111"/>
      <c r="P42" s="111"/>
    </row>
    <row r="43" spans="1:16">
      <c r="A43" s="389"/>
      <c r="B43" s="390"/>
      <c r="C43" s="391"/>
      <c r="D43" s="390"/>
      <c r="E43" s="390"/>
      <c r="F43" s="390"/>
      <c r="G43" s="390"/>
      <c r="H43" s="390"/>
      <c r="I43" s="111"/>
      <c r="J43" s="393"/>
      <c r="K43" s="394"/>
      <c r="L43" s="394"/>
      <c r="M43" s="242"/>
      <c r="N43" s="26"/>
      <c r="O43" s="111"/>
      <c r="P43" s="111"/>
    </row>
    <row r="44" spans="1:16">
      <c r="A44" s="389"/>
      <c r="B44" s="390"/>
      <c r="C44" s="391"/>
      <c r="D44" s="390"/>
      <c r="E44" s="390"/>
      <c r="F44" s="390"/>
      <c r="G44" s="390"/>
      <c r="H44" s="390"/>
      <c r="I44" s="111"/>
      <c r="J44" s="393"/>
      <c r="K44" s="394"/>
      <c r="L44" s="394"/>
      <c r="M44" s="243"/>
      <c r="N44" s="111"/>
      <c r="O44" s="111"/>
      <c r="P44" s="111"/>
    </row>
    <row r="45" spans="1:16">
      <c r="A45" s="389"/>
      <c r="B45" s="390"/>
      <c r="C45" s="391"/>
      <c r="D45" s="390"/>
      <c r="E45" s="390"/>
      <c r="F45" s="390"/>
      <c r="G45" s="390"/>
      <c r="H45" s="390"/>
      <c r="I45" s="111"/>
      <c r="J45" s="393"/>
      <c r="K45" s="394"/>
      <c r="L45" s="394"/>
      <c r="M45" s="244"/>
      <c r="N45" s="111"/>
      <c r="O45" s="111"/>
      <c r="P45" s="111"/>
    </row>
    <row r="46" spans="1:16">
      <c r="A46" s="245"/>
      <c r="B46" s="111"/>
      <c r="C46" s="246"/>
      <c r="D46" s="111"/>
      <c r="E46" s="111"/>
      <c r="F46" s="111"/>
      <c r="G46" s="111"/>
      <c r="H46" s="111"/>
      <c r="I46" s="111"/>
      <c r="J46" s="247"/>
      <c r="K46" s="244"/>
      <c r="L46" s="244"/>
      <c r="M46" s="244"/>
      <c r="N46" s="111"/>
      <c r="O46" s="111"/>
      <c r="P46" s="111"/>
    </row>
    <row r="47" spans="1:16">
      <c r="A47" s="245"/>
      <c r="B47" s="111"/>
      <c r="C47" s="246"/>
      <c r="D47" s="111"/>
      <c r="E47" s="111"/>
      <c r="F47" s="111"/>
      <c r="G47" s="111"/>
      <c r="H47" s="111"/>
      <c r="I47" s="111"/>
      <c r="J47" s="247"/>
      <c r="K47" s="244"/>
      <c r="L47" s="244"/>
      <c r="M47" s="244"/>
      <c r="N47" s="111"/>
      <c r="O47" s="111"/>
      <c r="P47" s="111"/>
    </row>
    <row r="48" spans="1:16">
      <c r="A48" s="245"/>
      <c r="B48" s="111"/>
      <c r="C48" s="246"/>
      <c r="D48" s="111"/>
      <c r="E48" s="111"/>
      <c r="F48" s="111"/>
      <c r="G48" s="111"/>
      <c r="H48" s="111"/>
      <c r="I48" s="111"/>
      <c r="J48" s="247"/>
      <c r="K48" s="244"/>
      <c r="L48" s="244"/>
      <c r="M48" s="244"/>
      <c r="N48" s="111"/>
      <c r="O48" s="111"/>
      <c r="P48" s="111"/>
    </row>
    <row r="49" spans="1:16">
      <c r="A49" s="245"/>
      <c r="B49" s="111"/>
      <c r="C49" s="246"/>
      <c r="D49" s="111"/>
      <c r="E49" s="111"/>
      <c r="F49" s="111"/>
      <c r="G49" s="111"/>
      <c r="H49" s="111"/>
      <c r="I49" s="111"/>
      <c r="J49" s="247"/>
      <c r="K49" s="244"/>
      <c r="L49" s="244"/>
      <c r="M49" s="244"/>
      <c r="N49" s="111"/>
      <c r="O49" s="111"/>
      <c r="P49" s="111"/>
    </row>
    <row r="50" spans="1:16">
      <c r="A50" s="245"/>
      <c r="B50" s="111"/>
      <c r="C50" s="246"/>
      <c r="D50" s="111"/>
      <c r="E50" s="111"/>
      <c r="F50" s="111"/>
      <c r="G50" s="111"/>
      <c r="H50" s="111"/>
      <c r="I50" s="111"/>
      <c r="J50" s="247"/>
      <c r="K50" s="244"/>
      <c r="L50" s="244"/>
      <c r="M50" s="244"/>
      <c r="N50" s="111"/>
      <c r="O50" s="111"/>
      <c r="P50" s="111"/>
    </row>
    <row r="51" spans="1:16">
      <c r="A51" s="245"/>
      <c r="B51" s="111"/>
      <c r="C51" s="246"/>
      <c r="D51" s="111"/>
      <c r="E51" s="111"/>
      <c r="F51" s="111"/>
      <c r="G51" s="111"/>
      <c r="H51" s="111"/>
      <c r="I51" s="111"/>
      <c r="J51" s="247"/>
      <c r="K51" s="244"/>
      <c r="L51" s="244"/>
      <c r="M51" s="244"/>
      <c r="N51" s="111"/>
      <c r="O51" s="111"/>
      <c r="P51" s="111"/>
    </row>
    <row r="52" spans="1:16">
      <c r="A52" s="245"/>
      <c r="B52" s="111"/>
      <c r="C52" s="246"/>
      <c r="D52" s="111"/>
      <c r="E52" s="111"/>
      <c r="F52" s="111"/>
      <c r="G52" s="111"/>
      <c r="H52" s="111"/>
      <c r="I52" s="111"/>
      <c r="J52" s="247"/>
      <c r="K52" s="244"/>
      <c r="L52" s="244"/>
      <c r="M52" s="244"/>
      <c r="N52" s="111"/>
      <c r="O52" s="111"/>
      <c r="P52" s="111"/>
    </row>
    <row r="53" spans="1:16">
      <c r="A53" s="245"/>
      <c r="B53" s="111"/>
      <c r="C53" s="246"/>
      <c r="D53" s="111"/>
      <c r="E53" s="111"/>
      <c r="F53" s="111"/>
      <c r="G53" s="111"/>
      <c r="H53" s="111"/>
      <c r="I53" s="111"/>
      <c r="J53" s="247"/>
      <c r="K53" s="244"/>
      <c r="L53" s="244"/>
      <c r="M53" s="244"/>
      <c r="N53" s="111"/>
      <c r="O53" s="111"/>
      <c r="P53" s="111"/>
    </row>
    <row r="54" spans="1:16">
      <c r="A54" s="245"/>
      <c r="B54" s="111"/>
      <c r="C54" s="246"/>
      <c r="D54" s="111"/>
      <c r="E54" s="111"/>
      <c r="F54" s="111"/>
      <c r="G54" s="111"/>
      <c r="H54" s="111"/>
      <c r="I54" s="111"/>
      <c r="J54" s="247"/>
      <c r="K54" s="244"/>
      <c r="L54" s="244"/>
      <c r="M54" s="244"/>
      <c r="N54" s="111"/>
      <c r="O54" s="111"/>
      <c r="P54" s="111"/>
    </row>
    <row r="55" spans="1:16">
      <c r="A55" s="245"/>
      <c r="B55" s="111"/>
      <c r="C55" s="246"/>
      <c r="D55" s="111"/>
      <c r="E55" s="111"/>
      <c r="F55" s="111"/>
      <c r="G55" s="111"/>
      <c r="H55" s="111"/>
      <c r="I55" s="111"/>
      <c r="J55" s="247"/>
      <c r="K55" s="244"/>
      <c r="L55" s="244"/>
      <c r="M55" s="244"/>
      <c r="N55" s="111"/>
      <c r="O55" s="111"/>
      <c r="P55" s="111"/>
    </row>
    <row r="56" spans="1:16">
      <c r="A56" s="245"/>
      <c r="B56" s="111"/>
      <c r="C56" s="246"/>
      <c r="D56" s="111"/>
      <c r="E56" s="111"/>
      <c r="F56" s="111"/>
      <c r="G56" s="111"/>
      <c r="H56" s="111"/>
      <c r="I56" s="111"/>
      <c r="J56" s="247"/>
      <c r="K56" s="244"/>
      <c r="L56" s="244"/>
      <c r="M56" s="244"/>
      <c r="N56" s="111"/>
      <c r="O56" s="111"/>
      <c r="P56" s="111"/>
    </row>
    <row r="57" spans="1:16">
      <c r="A57" s="245"/>
      <c r="B57" s="111"/>
      <c r="C57" s="246"/>
      <c r="D57" s="111"/>
      <c r="E57" s="111"/>
      <c r="F57" s="111"/>
      <c r="G57" s="111"/>
      <c r="H57" s="111"/>
      <c r="I57" s="111"/>
      <c r="J57" s="247"/>
      <c r="K57" s="244"/>
      <c r="L57" s="244"/>
      <c r="M57" s="244"/>
      <c r="N57" s="111"/>
      <c r="O57" s="111"/>
      <c r="P57" s="111"/>
    </row>
    <row r="58" spans="1:16">
      <c r="A58" s="245"/>
      <c r="B58" s="111"/>
      <c r="C58" s="246"/>
      <c r="D58" s="111"/>
      <c r="E58" s="111"/>
      <c r="F58" s="111"/>
      <c r="G58" s="111"/>
      <c r="H58" s="111"/>
      <c r="I58" s="111"/>
      <c r="J58" s="247"/>
      <c r="K58" s="244"/>
      <c r="L58" s="244"/>
      <c r="M58" s="244"/>
      <c r="N58" s="111"/>
      <c r="O58" s="111"/>
      <c r="P58" s="111"/>
    </row>
    <row r="59" spans="1:16">
      <c r="A59" s="245"/>
      <c r="B59" s="111"/>
      <c r="C59" s="246"/>
      <c r="D59" s="111"/>
      <c r="E59" s="111"/>
      <c r="F59" s="111"/>
      <c r="G59" s="111"/>
      <c r="H59" s="111"/>
      <c r="I59" s="111"/>
      <c r="J59" s="247"/>
      <c r="K59" s="244"/>
      <c r="L59" s="244"/>
      <c r="M59" s="244"/>
      <c r="N59" s="111"/>
      <c r="O59" s="111"/>
      <c r="P59" s="111"/>
    </row>
    <row r="60" spans="1:16">
      <c r="A60" s="245"/>
      <c r="B60" s="111"/>
      <c r="C60" s="246"/>
      <c r="D60" s="111"/>
      <c r="E60" s="111"/>
      <c r="F60" s="111"/>
      <c r="G60" s="111"/>
      <c r="H60" s="111"/>
      <c r="I60" s="111"/>
      <c r="J60" s="247"/>
      <c r="K60" s="244"/>
      <c r="L60" s="244"/>
      <c r="M60" s="244"/>
      <c r="N60" s="111"/>
      <c r="O60" s="111"/>
      <c r="P60" s="111"/>
    </row>
    <row r="61" spans="1:16">
      <c r="A61" s="245"/>
      <c r="B61" s="111"/>
      <c r="C61" s="246"/>
      <c r="D61" s="111"/>
      <c r="E61" s="111"/>
      <c r="F61" s="111"/>
      <c r="G61" s="111"/>
      <c r="H61" s="111"/>
      <c r="I61" s="111"/>
      <c r="J61" s="247"/>
      <c r="K61" s="244"/>
      <c r="L61" s="244"/>
      <c r="M61" s="244"/>
      <c r="N61" s="111"/>
      <c r="O61" s="111"/>
      <c r="P61" s="111"/>
    </row>
    <row r="62" spans="1:16">
      <c r="A62" s="245"/>
      <c r="B62" s="111"/>
      <c r="C62" s="246"/>
      <c r="D62" s="111"/>
      <c r="E62" s="111"/>
      <c r="F62" s="111"/>
      <c r="G62" s="111"/>
      <c r="H62" s="111"/>
      <c r="I62" s="111"/>
      <c r="J62" s="247"/>
      <c r="K62" s="244"/>
      <c r="L62" s="244"/>
      <c r="M62" s="244"/>
      <c r="N62" s="111"/>
      <c r="O62" s="111"/>
      <c r="P62" s="111"/>
    </row>
    <row r="63" spans="1:16">
      <c r="A63" s="245"/>
      <c r="B63" s="111"/>
      <c r="C63" s="246"/>
      <c r="D63" s="111"/>
      <c r="E63" s="111"/>
      <c r="F63" s="111"/>
      <c r="G63" s="111"/>
      <c r="H63" s="111"/>
      <c r="I63" s="111"/>
      <c r="J63" s="247"/>
      <c r="K63" s="244"/>
      <c r="L63" s="244"/>
      <c r="M63" s="244"/>
      <c r="N63" s="111"/>
      <c r="O63" s="111"/>
      <c r="P63" s="111"/>
    </row>
    <row r="64" spans="1:16">
      <c r="A64" s="245"/>
      <c r="B64" s="111"/>
      <c r="C64" s="246"/>
      <c r="D64" s="111"/>
      <c r="E64" s="111"/>
      <c r="F64" s="111"/>
      <c r="G64" s="111"/>
      <c r="H64" s="111"/>
      <c r="I64" s="111"/>
      <c r="J64" s="247"/>
      <c r="K64" s="244"/>
      <c r="L64" s="244"/>
      <c r="M64" s="244"/>
      <c r="N64" s="111"/>
      <c r="O64" s="111"/>
      <c r="P64" s="111"/>
    </row>
    <row r="65" spans="1:16">
      <c r="A65" s="245"/>
      <c r="B65" s="111"/>
      <c r="C65" s="246"/>
      <c r="D65" s="111"/>
      <c r="E65" s="111"/>
      <c r="F65" s="111"/>
      <c r="G65" s="111"/>
      <c r="H65" s="111"/>
      <c r="I65" s="111"/>
      <c r="J65" s="247"/>
      <c r="K65" s="244"/>
      <c r="L65" s="244"/>
      <c r="M65" s="244"/>
      <c r="N65" s="111"/>
      <c r="O65" s="111"/>
      <c r="P65" s="111"/>
    </row>
    <row r="66" spans="1:16">
      <c r="A66" s="245"/>
      <c r="B66" s="111"/>
      <c r="C66" s="246"/>
      <c r="D66" s="111"/>
      <c r="E66" s="111"/>
      <c r="F66" s="111"/>
      <c r="G66" s="111"/>
      <c r="H66" s="111"/>
      <c r="I66" s="111"/>
      <c r="J66" s="247"/>
      <c r="K66" s="244"/>
      <c r="L66" s="244"/>
      <c r="M66" s="244"/>
      <c r="N66" s="111"/>
      <c r="O66" s="111"/>
      <c r="P66" s="111"/>
    </row>
    <row r="67" spans="1:16">
      <c r="A67" s="245"/>
      <c r="B67" s="111"/>
      <c r="C67" s="246"/>
      <c r="D67" s="111"/>
      <c r="E67" s="111"/>
      <c r="F67" s="111"/>
      <c r="G67" s="111"/>
      <c r="H67" s="111"/>
      <c r="I67" s="111"/>
      <c r="J67" s="247"/>
      <c r="K67" s="244"/>
      <c r="L67" s="244"/>
      <c r="M67" s="244"/>
      <c r="N67" s="111"/>
      <c r="O67" s="111"/>
      <c r="P67" s="111"/>
    </row>
    <row r="68" spans="1:16">
      <c r="A68" s="245"/>
      <c r="B68" s="111"/>
      <c r="C68" s="246"/>
      <c r="D68" s="111"/>
      <c r="E68" s="111"/>
      <c r="F68" s="111"/>
      <c r="G68" s="111"/>
      <c r="H68" s="111"/>
      <c r="I68" s="111"/>
      <c r="J68" s="247"/>
      <c r="K68" s="244"/>
      <c r="L68" s="244"/>
      <c r="M68" s="244"/>
      <c r="N68" s="111"/>
      <c r="O68" s="111"/>
      <c r="P68" s="111"/>
    </row>
    <row r="69" spans="1:16">
      <c r="A69" s="245"/>
      <c r="B69" s="111"/>
      <c r="C69" s="246"/>
      <c r="D69" s="111"/>
      <c r="E69" s="111"/>
      <c r="F69" s="111"/>
      <c r="G69" s="111"/>
      <c r="H69" s="111"/>
      <c r="I69" s="111"/>
      <c r="J69" s="247"/>
      <c r="K69" s="244"/>
      <c r="L69" s="244"/>
      <c r="M69" s="244"/>
      <c r="N69" s="111"/>
      <c r="O69" s="111"/>
      <c r="P69" s="111"/>
    </row>
    <row r="70" spans="1:16">
      <c r="A70" s="245"/>
      <c r="B70" s="111"/>
      <c r="C70" s="246"/>
      <c r="D70" s="111"/>
      <c r="E70" s="111"/>
      <c r="F70" s="111"/>
      <c r="G70" s="111"/>
      <c r="H70" s="111"/>
      <c r="I70" s="111"/>
      <c r="J70" s="247"/>
      <c r="K70" s="244"/>
      <c r="L70" s="244"/>
      <c r="M70" s="244"/>
      <c r="N70" s="111"/>
      <c r="O70" s="111"/>
      <c r="P70" s="111"/>
    </row>
    <row r="71" spans="1:16">
      <c r="A71" s="245"/>
      <c r="B71" s="111"/>
      <c r="C71" s="246"/>
      <c r="D71" s="111"/>
      <c r="E71" s="111"/>
      <c r="F71" s="111"/>
      <c r="G71" s="111"/>
      <c r="H71" s="111"/>
      <c r="I71" s="111"/>
      <c r="J71" s="247"/>
      <c r="K71" s="244"/>
      <c r="L71" s="244"/>
      <c r="M71" s="244"/>
      <c r="N71" s="111"/>
      <c r="O71" s="111"/>
      <c r="P71" s="111"/>
    </row>
    <row r="72" spans="1:16">
      <c r="A72" s="245"/>
      <c r="B72" s="111"/>
      <c r="C72" s="246"/>
      <c r="D72" s="111"/>
      <c r="E72" s="111"/>
      <c r="F72" s="111"/>
      <c r="G72" s="111"/>
      <c r="H72" s="111"/>
      <c r="I72" s="111"/>
      <c r="J72" s="247"/>
      <c r="K72" s="244"/>
      <c r="L72" s="244"/>
      <c r="M72" s="244"/>
      <c r="N72" s="111"/>
      <c r="O72" s="111"/>
      <c r="P72" s="111"/>
    </row>
    <row r="73" spans="1:16">
      <c r="A73" s="245"/>
      <c r="B73" s="111"/>
      <c r="C73" s="246"/>
      <c r="D73" s="111"/>
      <c r="E73" s="111"/>
      <c r="F73" s="111"/>
      <c r="G73" s="111"/>
      <c r="H73" s="111"/>
      <c r="I73" s="111"/>
      <c r="J73" s="247"/>
      <c r="K73" s="244"/>
      <c r="L73" s="244"/>
      <c r="M73" s="244"/>
      <c r="N73" s="111"/>
      <c r="O73" s="111"/>
      <c r="P73" s="111"/>
    </row>
    <row r="74" spans="1:16">
      <c r="A74" s="245"/>
      <c r="B74" s="111"/>
      <c r="C74" s="246"/>
      <c r="D74" s="111"/>
      <c r="E74" s="111"/>
      <c r="F74" s="111"/>
      <c r="G74" s="111"/>
      <c r="H74" s="111"/>
      <c r="I74" s="111"/>
      <c r="J74" s="247"/>
      <c r="K74" s="244"/>
      <c r="L74" s="244"/>
      <c r="M74" s="244"/>
      <c r="N74" s="111"/>
      <c r="O74" s="111"/>
      <c r="P74" s="111"/>
    </row>
    <row r="75" spans="1:16">
      <c r="A75" s="245"/>
      <c r="B75" s="111"/>
      <c r="C75" s="246"/>
      <c r="D75" s="111"/>
      <c r="E75" s="111"/>
      <c r="F75" s="111"/>
      <c r="G75" s="111"/>
      <c r="H75" s="111"/>
      <c r="I75" s="111"/>
      <c r="J75" s="247"/>
      <c r="K75" s="244"/>
      <c r="L75" s="244"/>
      <c r="M75" s="244"/>
      <c r="N75" s="111"/>
      <c r="O75" s="111"/>
      <c r="P75" s="111"/>
    </row>
    <row r="76" spans="1:16">
      <c r="A76" s="245"/>
      <c r="B76" s="111"/>
      <c r="C76" s="246"/>
      <c r="D76" s="111"/>
      <c r="E76" s="111"/>
      <c r="F76" s="111"/>
      <c r="G76" s="111"/>
      <c r="H76" s="111"/>
      <c r="I76" s="111"/>
      <c r="J76" s="247"/>
      <c r="K76" s="244"/>
      <c r="L76" s="244"/>
      <c r="M76" s="244"/>
      <c r="N76" s="111"/>
      <c r="O76" s="111"/>
      <c r="P76" s="111"/>
    </row>
    <row r="77" spans="1:16">
      <c r="A77" s="245"/>
      <c r="B77" s="111"/>
      <c r="C77" s="246"/>
      <c r="D77" s="111"/>
      <c r="E77" s="111"/>
      <c r="F77" s="111"/>
      <c r="G77" s="111"/>
      <c r="H77" s="111"/>
      <c r="I77" s="111"/>
      <c r="J77" s="247"/>
      <c r="K77" s="244"/>
      <c r="L77" s="244"/>
      <c r="M77" s="244"/>
      <c r="N77" s="111"/>
      <c r="O77" s="111"/>
      <c r="P77" s="111"/>
    </row>
    <row r="78" spans="1:16">
      <c r="A78" s="245"/>
      <c r="B78" s="111"/>
      <c r="C78" s="246"/>
      <c r="D78" s="111"/>
      <c r="E78" s="111"/>
      <c r="F78" s="111"/>
      <c r="G78" s="111"/>
      <c r="H78" s="111"/>
      <c r="I78" s="111"/>
      <c r="J78" s="247"/>
      <c r="K78" s="244"/>
      <c r="L78" s="244"/>
      <c r="M78" s="244"/>
      <c r="N78" s="111"/>
      <c r="O78" s="111"/>
      <c r="P78" s="111"/>
    </row>
    <row r="79" spans="1:16">
      <c r="A79" s="245"/>
      <c r="B79" s="111"/>
      <c r="C79" s="246"/>
      <c r="D79" s="111"/>
      <c r="E79" s="111"/>
      <c r="F79" s="111"/>
      <c r="G79" s="111"/>
      <c r="H79" s="111"/>
      <c r="I79" s="111"/>
      <c r="J79" s="247"/>
      <c r="K79" s="244"/>
      <c r="L79" s="244"/>
      <c r="M79" s="244"/>
      <c r="N79" s="111"/>
      <c r="O79" s="111"/>
      <c r="P79" s="111"/>
    </row>
    <row r="80" spans="1:16">
      <c r="A80" s="245"/>
      <c r="B80" s="111"/>
      <c r="C80" s="246"/>
      <c r="D80" s="111"/>
      <c r="E80" s="111"/>
      <c r="F80" s="111"/>
      <c r="G80" s="111"/>
      <c r="H80" s="111"/>
      <c r="I80" s="111"/>
      <c r="J80" s="247"/>
      <c r="K80" s="244"/>
      <c r="L80" s="244"/>
      <c r="M80" s="244"/>
      <c r="N80" s="111"/>
      <c r="O80" s="111"/>
      <c r="P80" s="111"/>
    </row>
    <row r="81" spans="1:16">
      <c r="A81" s="245"/>
      <c r="B81" s="111"/>
      <c r="C81" s="246"/>
      <c r="D81" s="111"/>
      <c r="E81" s="111"/>
      <c r="F81" s="111"/>
      <c r="G81" s="111"/>
      <c r="H81" s="111"/>
      <c r="I81" s="111"/>
      <c r="J81" s="247"/>
      <c r="K81" s="244"/>
      <c r="L81" s="244"/>
      <c r="M81" s="244"/>
      <c r="N81" s="111"/>
      <c r="O81" s="111"/>
      <c r="P81" s="111"/>
    </row>
    <row r="82" spans="1:16">
      <c r="A82" s="245"/>
      <c r="B82" s="111"/>
      <c r="C82" s="246"/>
      <c r="D82" s="111"/>
      <c r="E82" s="111"/>
      <c r="F82" s="111"/>
      <c r="G82" s="111"/>
      <c r="H82" s="111"/>
      <c r="I82" s="111"/>
      <c r="J82" s="247"/>
      <c r="K82" s="244"/>
      <c r="L82" s="244"/>
      <c r="M82" s="244"/>
      <c r="N82" s="111"/>
      <c r="O82" s="111"/>
      <c r="P82" s="111"/>
    </row>
    <row r="83" spans="1:16">
      <c r="A83" s="245"/>
      <c r="B83" s="111"/>
      <c r="C83" s="246"/>
      <c r="D83" s="111"/>
      <c r="E83" s="111"/>
      <c r="F83" s="111"/>
      <c r="G83" s="111"/>
      <c r="H83" s="111"/>
      <c r="I83" s="111"/>
      <c r="J83" s="247"/>
      <c r="K83" s="244"/>
      <c r="L83" s="244"/>
      <c r="M83" s="244"/>
      <c r="N83" s="111"/>
      <c r="O83" s="111"/>
      <c r="P83" s="111"/>
    </row>
    <row r="84" spans="1:16">
      <c r="A84" s="245"/>
      <c r="B84" s="111"/>
      <c r="C84" s="246"/>
      <c r="D84" s="111"/>
      <c r="E84" s="111"/>
      <c r="F84" s="111"/>
      <c r="G84" s="111"/>
      <c r="H84" s="111"/>
      <c r="I84" s="111"/>
      <c r="J84" s="247"/>
      <c r="K84" s="244"/>
      <c r="L84" s="244"/>
      <c r="M84" s="244"/>
      <c r="N84" s="111"/>
      <c r="O84" s="111"/>
      <c r="P84" s="111"/>
    </row>
    <row r="85" spans="1:16">
      <c r="A85" s="245"/>
      <c r="B85" s="111"/>
      <c r="C85" s="246"/>
      <c r="D85" s="111"/>
      <c r="E85" s="111"/>
      <c r="F85" s="111"/>
      <c r="G85" s="111"/>
      <c r="H85" s="111"/>
      <c r="I85" s="111"/>
      <c r="J85" s="247"/>
      <c r="K85" s="244"/>
      <c r="L85" s="244"/>
      <c r="M85" s="244"/>
      <c r="N85" s="111"/>
      <c r="O85" s="111"/>
      <c r="P85" s="111"/>
    </row>
    <row r="86" spans="1:16">
      <c r="A86" s="245"/>
      <c r="B86" s="111"/>
      <c r="C86" s="246"/>
      <c r="D86" s="111"/>
      <c r="E86" s="111"/>
      <c r="F86" s="111"/>
      <c r="G86" s="111"/>
      <c r="H86" s="111"/>
      <c r="I86" s="111"/>
      <c r="J86" s="247"/>
      <c r="K86" s="244"/>
      <c r="L86" s="244"/>
      <c r="M86" s="244"/>
      <c r="N86" s="111"/>
      <c r="O86" s="111"/>
      <c r="P86" s="111"/>
    </row>
    <row r="87" spans="1:16">
      <c r="A87" s="245"/>
      <c r="B87" s="111"/>
      <c r="C87" s="246"/>
      <c r="D87" s="111"/>
      <c r="E87" s="111"/>
      <c r="F87" s="111"/>
      <c r="G87" s="111"/>
      <c r="H87" s="111"/>
      <c r="I87" s="111"/>
      <c r="J87" s="247"/>
      <c r="K87" s="244"/>
      <c r="L87" s="244"/>
      <c r="M87" s="244"/>
      <c r="N87" s="111"/>
      <c r="O87" s="111"/>
      <c r="P87" s="111"/>
    </row>
    <row r="88" spans="1:16">
      <c r="A88" s="245"/>
      <c r="B88" s="111"/>
      <c r="C88" s="246"/>
      <c r="D88" s="111"/>
      <c r="E88" s="111"/>
      <c r="F88" s="111"/>
      <c r="G88" s="111"/>
      <c r="H88" s="111"/>
      <c r="I88" s="111"/>
      <c r="J88" s="247"/>
      <c r="K88" s="244"/>
      <c r="L88" s="244"/>
      <c r="M88" s="244"/>
      <c r="N88" s="111"/>
      <c r="O88" s="111"/>
      <c r="P88" s="111"/>
    </row>
    <row r="89" spans="1:16">
      <c r="A89" s="245"/>
      <c r="B89" s="111"/>
      <c r="C89" s="246"/>
      <c r="D89" s="111"/>
      <c r="E89" s="111"/>
      <c r="F89" s="111"/>
      <c r="G89" s="111"/>
      <c r="H89" s="111"/>
      <c r="I89" s="111"/>
      <c r="J89" s="247"/>
      <c r="K89" s="244"/>
      <c r="L89" s="244"/>
      <c r="M89" s="244"/>
      <c r="N89" s="111"/>
      <c r="O89" s="111"/>
      <c r="P89" s="111"/>
    </row>
    <row r="90" spans="1:16">
      <c r="A90" s="245"/>
      <c r="B90" s="111"/>
      <c r="C90" s="246"/>
      <c r="D90" s="111"/>
      <c r="E90" s="111"/>
      <c r="F90" s="111"/>
      <c r="G90" s="111"/>
      <c r="H90" s="111"/>
      <c r="I90" s="111"/>
      <c r="J90" s="247"/>
      <c r="K90" s="244"/>
      <c r="L90" s="244"/>
      <c r="M90" s="244"/>
      <c r="N90" s="111"/>
      <c r="O90" s="111"/>
      <c r="P90" s="111"/>
    </row>
    <row r="91" spans="1:16">
      <c r="A91" s="245"/>
      <c r="B91" s="111"/>
      <c r="C91" s="246"/>
      <c r="D91" s="111"/>
      <c r="E91" s="111"/>
      <c r="F91" s="111"/>
      <c r="G91" s="111"/>
      <c r="H91" s="111"/>
      <c r="I91" s="111"/>
      <c r="J91" s="247"/>
      <c r="K91" s="244"/>
      <c r="L91" s="244"/>
      <c r="M91" s="244"/>
      <c r="N91" s="111"/>
      <c r="O91" s="111"/>
      <c r="P91" s="111"/>
    </row>
    <row r="92" spans="1:16">
      <c r="A92" s="245"/>
      <c r="B92" s="111"/>
      <c r="C92" s="246"/>
      <c r="D92" s="111"/>
      <c r="E92" s="111"/>
      <c r="F92" s="111"/>
      <c r="G92" s="111"/>
      <c r="H92" s="111"/>
      <c r="I92" s="111"/>
      <c r="J92" s="247"/>
      <c r="K92" s="244"/>
      <c r="L92" s="244"/>
      <c r="M92" s="244"/>
      <c r="N92" s="111"/>
      <c r="O92" s="111"/>
      <c r="P92" s="111"/>
    </row>
    <row r="93" spans="1:16">
      <c r="A93" s="245"/>
      <c r="B93" s="111"/>
      <c r="C93" s="246"/>
      <c r="D93" s="111"/>
      <c r="E93" s="111"/>
      <c r="F93" s="111"/>
      <c r="G93" s="111"/>
      <c r="H93" s="111"/>
      <c r="I93" s="111"/>
      <c r="J93" s="247"/>
      <c r="K93" s="244"/>
      <c r="L93" s="244"/>
      <c r="M93" s="244"/>
      <c r="N93" s="111"/>
      <c r="O93" s="111"/>
      <c r="P93" s="111"/>
    </row>
    <row r="94" spans="1:16">
      <c r="A94" s="245"/>
      <c r="B94" s="111"/>
      <c r="C94" s="246"/>
      <c r="D94" s="111"/>
      <c r="E94" s="111"/>
      <c r="F94" s="111"/>
      <c r="G94" s="111"/>
      <c r="H94" s="111"/>
      <c r="I94" s="111"/>
      <c r="J94" s="247"/>
      <c r="K94" s="244"/>
      <c r="L94" s="244"/>
      <c r="M94" s="244"/>
      <c r="N94" s="111"/>
      <c r="O94" s="111"/>
      <c r="P94" s="111"/>
    </row>
    <row r="95" spans="1:16">
      <c r="A95" s="245"/>
      <c r="B95" s="111"/>
      <c r="C95" s="246"/>
      <c r="D95" s="111"/>
      <c r="E95" s="111"/>
      <c r="F95" s="111"/>
      <c r="G95" s="111"/>
      <c r="H95" s="111"/>
      <c r="I95" s="111"/>
      <c r="J95" s="247"/>
      <c r="K95" s="244"/>
      <c r="L95" s="244"/>
      <c r="M95" s="244"/>
      <c r="N95" s="111"/>
      <c r="O95" s="111"/>
      <c r="P95" s="111"/>
    </row>
    <row r="96" spans="1:16">
      <c r="A96" s="245"/>
      <c r="B96" s="111"/>
      <c r="C96" s="246"/>
      <c r="D96" s="111"/>
      <c r="E96" s="111"/>
      <c r="F96" s="111"/>
      <c r="G96" s="111"/>
      <c r="H96" s="111"/>
      <c r="I96" s="111"/>
      <c r="J96" s="247"/>
      <c r="K96" s="244"/>
      <c r="L96" s="244"/>
      <c r="M96" s="244"/>
      <c r="N96" s="111"/>
      <c r="O96" s="111"/>
      <c r="P96" s="111"/>
    </row>
    <row r="97" spans="1:16">
      <c r="A97" s="245"/>
      <c r="B97" s="111"/>
      <c r="C97" s="246"/>
      <c r="D97" s="111"/>
      <c r="E97" s="111"/>
      <c r="F97" s="111"/>
      <c r="G97" s="111"/>
      <c r="H97" s="111"/>
      <c r="I97" s="111"/>
      <c r="J97" s="247"/>
      <c r="K97" s="244"/>
      <c r="L97" s="244"/>
      <c r="M97" s="244"/>
      <c r="N97" s="111"/>
      <c r="O97" s="111"/>
      <c r="P97" s="111"/>
    </row>
    <row r="98" spans="1:16">
      <c r="A98" s="245"/>
      <c r="B98" s="111"/>
      <c r="C98" s="246"/>
      <c r="D98" s="111"/>
      <c r="E98" s="111"/>
      <c r="F98" s="111"/>
      <c r="G98" s="111"/>
      <c r="H98" s="111"/>
      <c r="I98" s="111"/>
      <c r="J98" s="247"/>
      <c r="K98" s="244"/>
      <c r="L98" s="244"/>
      <c r="M98" s="244"/>
      <c r="N98" s="111"/>
      <c r="O98" s="111"/>
      <c r="P98" s="111"/>
    </row>
    <row r="99" spans="1:16">
      <c r="A99" s="245"/>
      <c r="B99" s="111"/>
      <c r="C99" s="246"/>
      <c r="D99" s="111"/>
      <c r="E99" s="111"/>
      <c r="F99" s="111"/>
      <c r="G99" s="111"/>
      <c r="H99" s="111"/>
      <c r="I99" s="111"/>
      <c r="J99" s="247"/>
      <c r="K99" s="244"/>
      <c r="L99" s="244"/>
      <c r="M99" s="244"/>
      <c r="N99" s="111"/>
      <c r="O99" s="111"/>
      <c r="P99" s="111"/>
    </row>
    <row r="100" spans="1:16">
      <c r="A100" s="245"/>
      <c r="B100" s="111"/>
      <c r="C100" s="246"/>
      <c r="D100" s="111"/>
      <c r="E100" s="111"/>
      <c r="F100" s="111"/>
      <c r="G100" s="111"/>
      <c r="H100" s="111"/>
      <c r="I100" s="111"/>
      <c r="J100" s="247"/>
      <c r="K100" s="244"/>
      <c r="L100" s="244"/>
      <c r="M100" s="244"/>
      <c r="N100" s="111"/>
      <c r="O100" s="111"/>
      <c r="P100" s="111"/>
    </row>
    <row r="101" spans="1:16">
      <c r="A101" s="245"/>
      <c r="B101" s="111"/>
      <c r="C101" s="246"/>
      <c r="D101" s="111"/>
      <c r="E101" s="111"/>
      <c r="F101" s="111"/>
      <c r="G101" s="111"/>
      <c r="H101" s="111"/>
      <c r="I101" s="111"/>
      <c r="J101" s="247"/>
      <c r="K101" s="244"/>
      <c r="L101" s="244"/>
      <c r="M101" s="244"/>
      <c r="N101" s="111"/>
      <c r="O101" s="111"/>
      <c r="P101" s="111"/>
    </row>
    <row r="102" spans="1:16">
      <c r="A102" s="245"/>
      <c r="B102" s="111"/>
      <c r="C102" s="246"/>
      <c r="D102" s="111"/>
      <c r="E102" s="111"/>
      <c r="F102" s="111"/>
      <c r="G102" s="111"/>
      <c r="H102" s="111"/>
      <c r="I102" s="111"/>
      <c r="J102" s="247"/>
      <c r="K102" s="244"/>
      <c r="L102" s="244"/>
      <c r="M102" s="244"/>
      <c r="N102" s="111"/>
      <c r="O102" s="111"/>
      <c r="P102" s="111"/>
    </row>
    <row r="103" spans="1:16">
      <c r="A103" s="245"/>
      <c r="B103" s="111"/>
      <c r="C103" s="246"/>
      <c r="D103" s="111"/>
      <c r="E103" s="111"/>
      <c r="F103" s="111"/>
      <c r="G103" s="111"/>
      <c r="H103" s="111"/>
      <c r="I103" s="111"/>
      <c r="J103" s="247"/>
      <c r="K103" s="244"/>
      <c r="L103" s="244"/>
      <c r="M103" s="244"/>
      <c r="N103" s="111"/>
      <c r="O103" s="111"/>
      <c r="P103" s="111"/>
    </row>
    <row r="104" spans="1:16">
      <c r="A104" s="245"/>
      <c r="B104" s="111"/>
      <c r="C104" s="246"/>
      <c r="D104" s="111"/>
      <c r="E104" s="111"/>
      <c r="F104" s="111"/>
      <c r="G104" s="111"/>
      <c r="H104" s="111"/>
      <c r="I104" s="111"/>
      <c r="J104" s="247"/>
      <c r="K104" s="244"/>
      <c r="L104" s="244"/>
      <c r="M104" s="244"/>
      <c r="N104" s="111"/>
      <c r="O104" s="111"/>
      <c r="P104" s="111"/>
    </row>
    <row r="105" spans="1:16">
      <c r="A105" s="245"/>
      <c r="B105" s="111"/>
      <c r="C105" s="246"/>
      <c r="D105" s="111"/>
      <c r="E105" s="111"/>
      <c r="F105" s="111"/>
      <c r="G105" s="111"/>
      <c r="H105" s="111"/>
      <c r="I105" s="111"/>
      <c r="J105" s="247"/>
      <c r="K105" s="244"/>
      <c r="L105" s="244"/>
      <c r="M105" s="244"/>
      <c r="N105" s="111"/>
      <c r="O105" s="111"/>
      <c r="P105" s="111"/>
    </row>
    <row r="106" spans="1:16">
      <c r="A106" s="245"/>
      <c r="B106" s="111"/>
      <c r="C106" s="246"/>
      <c r="D106" s="111"/>
      <c r="E106" s="111"/>
      <c r="F106" s="111"/>
      <c r="G106" s="111"/>
      <c r="H106" s="111"/>
      <c r="I106" s="111"/>
      <c r="J106" s="247"/>
      <c r="K106" s="244"/>
      <c r="L106" s="244"/>
      <c r="M106" s="244"/>
      <c r="N106" s="111"/>
      <c r="O106" s="111"/>
      <c r="P106" s="111"/>
    </row>
    <row r="107" spans="1:16">
      <c r="A107" s="245"/>
      <c r="B107" s="111"/>
      <c r="C107" s="246"/>
      <c r="D107" s="111"/>
      <c r="E107" s="111"/>
      <c r="F107" s="111"/>
      <c r="G107" s="111"/>
      <c r="H107" s="111"/>
      <c r="I107" s="111"/>
      <c r="J107" s="247"/>
      <c r="K107" s="244"/>
      <c r="L107" s="244"/>
      <c r="M107" s="244"/>
      <c r="N107" s="111"/>
      <c r="O107" s="111"/>
      <c r="P107" s="111"/>
    </row>
    <row r="108" spans="1:16">
      <c r="A108" s="245"/>
      <c r="B108" s="111"/>
      <c r="C108" s="246"/>
      <c r="D108" s="111"/>
      <c r="E108" s="111"/>
      <c r="F108" s="111"/>
      <c r="G108" s="111"/>
      <c r="H108" s="111"/>
      <c r="I108" s="111"/>
      <c r="J108" s="247"/>
      <c r="K108" s="244"/>
      <c r="L108" s="244"/>
      <c r="M108" s="244"/>
      <c r="N108" s="111"/>
      <c r="O108" s="111"/>
      <c r="P108" s="111"/>
    </row>
    <row r="109" spans="1:16">
      <c r="A109" s="245"/>
      <c r="B109" s="111"/>
      <c r="C109" s="246"/>
      <c r="D109" s="111"/>
      <c r="E109" s="111"/>
      <c r="F109" s="111"/>
      <c r="G109" s="111"/>
      <c r="H109" s="111"/>
      <c r="I109" s="111"/>
      <c r="J109" s="247"/>
      <c r="K109" s="244"/>
      <c r="L109" s="244"/>
      <c r="M109" s="244"/>
      <c r="N109" s="111"/>
      <c r="O109" s="111"/>
      <c r="P109" s="111"/>
    </row>
    <row r="110" spans="1:16">
      <c r="A110" s="245"/>
      <c r="B110" s="111"/>
      <c r="C110" s="246"/>
      <c r="D110" s="111"/>
      <c r="E110" s="111"/>
      <c r="F110" s="111"/>
      <c r="G110" s="111"/>
      <c r="H110" s="111"/>
      <c r="I110" s="111"/>
      <c r="J110" s="247"/>
      <c r="K110" s="244"/>
      <c r="L110" s="244"/>
      <c r="M110" s="244"/>
      <c r="N110" s="111"/>
      <c r="O110" s="111"/>
      <c r="P110" s="111"/>
    </row>
    <row r="111" spans="1:16">
      <c r="A111" s="245"/>
      <c r="B111" s="111"/>
      <c r="C111" s="246"/>
      <c r="D111" s="111"/>
      <c r="E111" s="111"/>
      <c r="F111" s="111"/>
      <c r="G111" s="111"/>
      <c r="H111" s="111"/>
      <c r="I111" s="111"/>
      <c r="J111" s="247"/>
      <c r="K111" s="244"/>
      <c r="L111" s="244"/>
      <c r="M111" s="244"/>
      <c r="N111" s="111"/>
      <c r="O111" s="111"/>
      <c r="P111" s="111"/>
    </row>
    <row r="112" spans="1:16">
      <c r="A112" s="245"/>
      <c r="B112" s="111"/>
      <c r="C112" s="246"/>
      <c r="D112" s="111"/>
      <c r="E112" s="111"/>
      <c r="F112" s="111"/>
      <c r="G112" s="111"/>
      <c r="H112" s="111"/>
      <c r="I112" s="111"/>
      <c r="J112" s="247"/>
      <c r="K112" s="244"/>
      <c r="L112" s="244"/>
      <c r="M112" s="244"/>
      <c r="N112" s="111"/>
      <c r="O112" s="111"/>
      <c r="P112" s="111"/>
    </row>
    <row r="113" spans="1:16">
      <c r="A113" s="245"/>
      <c r="B113" s="111"/>
      <c r="C113" s="246"/>
      <c r="D113" s="111"/>
      <c r="E113" s="111"/>
      <c r="F113" s="111"/>
      <c r="G113" s="111"/>
      <c r="H113" s="111"/>
      <c r="I113" s="111"/>
      <c r="J113" s="247"/>
      <c r="K113" s="244"/>
      <c r="L113" s="244"/>
      <c r="M113" s="244"/>
      <c r="N113" s="111"/>
      <c r="O113" s="111"/>
      <c r="P113" s="111"/>
    </row>
    <row r="114" spans="1:16">
      <c r="A114" s="245"/>
      <c r="B114" s="111"/>
      <c r="C114" s="246"/>
      <c r="D114" s="111"/>
      <c r="E114" s="111"/>
      <c r="F114" s="111"/>
      <c r="G114" s="111"/>
      <c r="H114" s="111"/>
      <c r="I114" s="111"/>
      <c r="J114" s="247"/>
      <c r="K114" s="244"/>
      <c r="L114" s="244"/>
      <c r="M114" s="244"/>
      <c r="N114" s="111"/>
      <c r="O114" s="111"/>
      <c r="P114" s="111"/>
    </row>
    <row r="115" spans="1:16">
      <c r="A115" s="245"/>
      <c r="B115" s="111"/>
      <c r="C115" s="246"/>
      <c r="D115" s="111"/>
      <c r="E115" s="111"/>
      <c r="F115" s="111"/>
      <c r="G115" s="111"/>
      <c r="H115" s="111"/>
      <c r="I115" s="111"/>
      <c r="J115" s="247"/>
      <c r="K115" s="244"/>
      <c r="L115" s="244"/>
      <c r="M115" s="244"/>
      <c r="N115" s="111"/>
      <c r="O115" s="111"/>
      <c r="P115" s="111"/>
    </row>
    <row r="116" spans="1:16">
      <c r="A116" s="245"/>
      <c r="B116" s="111"/>
      <c r="C116" s="246"/>
      <c r="D116" s="111"/>
      <c r="E116" s="111"/>
      <c r="F116" s="111"/>
      <c r="G116" s="111"/>
      <c r="H116" s="111"/>
      <c r="I116" s="111"/>
      <c r="J116" s="247"/>
      <c r="K116" s="244"/>
      <c r="L116" s="244"/>
      <c r="M116" s="244"/>
      <c r="N116" s="111"/>
      <c r="O116" s="111"/>
      <c r="P116" s="111"/>
    </row>
    <row r="117" spans="1:16">
      <c r="A117" s="245"/>
      <c r="B117" s="111"/>
      <c r="C117" s="246"/>
      <c r="D117" s="111"/>
      <c r="E117" s="111"/>
      <c r="F117" s="111"/>
      <c r="G117" s="111"/>
      <c r="H117" s="111"/>
      <c r="I117" s="111"/>
      <c r="J117" s="247"/>
      <c r="K117" s="244"/>
      <c r="L117" s="244"/>
      <c r="M117" s="244"/>
      <c r="N117" s="111"/>
      <c r="O117" s="111"/>
      <c r="P117" s="111"/>
    </row>
    <row r="118" spans="1:16">
      <c r="A118" s="245"/>
      <c r="B118" s="111"/>
      <c r="C118" s="246"/>
      <c r="D118" s="111"/>
      <c r="E118" s="111"/>
      <c r="F118" s="111"/>
      <c r="G118" s="111"/>
      <c r="H118" s="111"/>
      <c r="I118" s="111"/>
      <c r="J118" s="247"/>
      <c r="K118" s="244"/>
      <c r="L118" s="244"/>
      <c r="M118" s="244"/>
      <c r="N118" s="111"/>
      <c r="O118" s="111"/>
      <c r="P118" s="111"/>
    </row>
    <row r="119" spans="1:16">
      <c r="A119" s="245"/>
      <c r="B119" s="111"/>
      <c r="C119" s="246"/>
      <c r="D119" s="111"/>
      <c r="E119" s="111"/>
      <c r="F119" s="111"/>
      <c r="G119" s="111"/>
      <c r="H119" s="111"/>
      <c r="I119" s="111"/>
      <c r="J119" s="247"/>
      <c r="K119" s="244"/>
      <c r="L119" s="244"/>
      <c r="M119" s="244"/>
      <c r="N119" s="111"/>
      <c r="O119" s="111"/>
      <c r="P119" s="111"/>
    </row>
    <row r="120" spans="1:16">
      <c r="A120" s="245"/>
      <c r="B120" s="111"/>
      <c r="C120" s="246"/>
      <c r="D120" s="111"/>
      <c r="E120" s="111"/>
      <c r="F120" s="111"/>
      <c r="G120" s="111"/>
      <c r="H120" s="111"/>
      <c r="I120" s="111"/>
      <c r="J120" s="247"/>
      <c r="K120" s="244"/>
      <c r="L120" s="244"/>
      <c r="M120" s="244"/>
      <c r="N120" s="111"/>
      <c r="O120" s="111"/>
      <c r="P120" s="111"/>
    </row>
    <row r="121" spans="1:16">
      <c r="A121" s="245"/>
      <c r="B121" s="111"/>
      <c r="C121" s="246"/>
      <c r="D121" s="111"/>
      <c r="E121" s="111"/>
      <c r="F121" s="111"/>
      <c r="G121" s="111"/>
      <c r="H121" s="111"/>
      <c r="I121" s="111"/>
      <c r="J121" s="247"/>
      <c r="K121" s="244"/>
      <c r="L121" s="244"/>
      <c r="M121" s="244"/>
      <c r="N121" s="111"/>
      <c r="O121" s="111"/>
      <c r="P121" s="111"/>
    </row>
    <row r="122" spans="1:16">
      <c r="A122" s="245"/>
      <c r="B122" s="111"/>
      <c r="C122" s="246"/>
      <c r="D122" s="111"/>
      <c r="E122" s="111"/>
      <c r="F122" s="111"/>
      <c r="G122" s="111"/>
      <c r="H122" s="111"/>
      <c r="I122" s="111"/>
      <c r="J122" s="247"/>
      <c r="K122" s="244"/>
      <c r="L122" s="244"/>
      <c r="M122" s="244"/>
      <c r="N122" s="111"/>
      <c r="O122" s="111"/>
      <c r="P122" s="111"/>
    </row>
    <row r="123" spans="1:16">
      <c r="A123" s="245"/>
      <c r="B123" s="111"/>
      <c r="C123" s="246"/>
      <c r="D123" s="111"/>
      <c r="E123" s="111"/>
      <c r="F123" s="111"/>
      <c r="G123" s="111"/>
      <c r="H123" s="111"/>
      <c r="I123" s="111"/>
      <c r="J123" s="247"/>
      <c r="K123" s="244"/>
      <c r="L123" s="244"/>
      <c r="M123" s="244"/>
      <c r="N123" s="111"/>
      <c r="O123" s="111"/>
      <c r="P123" s="111"/>
    </row>
    <row r="124" spans="1:16">
      <c r="A124" s="245"/>
      <c r="B124" s="111"/>
      <c r="C124" s="246"/>
      <c r="D124" s="111"/>
      <c r="E124" s="111"/>
      <c r="F124" s="111"/>
      <c r="G124" s="111"/>
      <c r="H124" s="111"/>
      <c r="I124" s="111"/>
      <c r="J124" s="247"/>
      <c r="K124" s="244"/>
      <c r="L124" s="244"/>
      <c r="M124" s="244"/>
      <c r="N124" s="111"/>
      <c r="O124" s="111"/>
      <c r="P124" s="111"/>
    </row>
    <row r="125" spans="1:16">
      <c r="A125" s="245"/>
      <c r="B125" s="111"/>
      <c r="C125" s="246"/>
      <c r="D125" s="111"/>
      <c r="E125" s="111"/>
      <c r="F125" s="111"/>
      <c r="G125" s="111"/>
      <c r="H125" s="111"/>
      <c r="I125" s="111"/>
      <c r="J125" s="247"/>
      <c r="K125" s="244"/>
      <c r="L125" s="244"/>
      <c r="M125" s="244"/>
      <c r="N125" s="111"/>
      <c r="O125" s="111"/>
      <c r="P125" s="111"/>
    </row>
    <row r="126" spans="1:16">
      <c r="A126" s="245"/>
      <c r="B126" s="111"/>
      <c r="C126" s="246"/>
      <c r="D126" s="111"/>
      <c r="E126" s="111"/>
      <c r="F126" s="111"/>
      <c r="G126" s="111"/>
      <c r="H126" s="111"/>
      <c r="I126" s="111"/>
      <c r="J126" s="247"/>
      <c r="K126" s="244"/>
      <c r="L126" s="244"/>
      <c r="M126" s="244"/>
      <c r="N126" s="111"/>
      <c r="O126" s="111"/>
      <c r="P126" s="111"/>
    </row>
    <row r="127" spans="1:16">
      <c r="A127" s="245"/>
      <c r="B127" s="111"/>
      <c r="C127" s="246"/>
      <c r="D127" s="111"/>
      <c r="E127" s="111"/>
      <c r="F127" s="111"/>
      <c r="G127" s="111"/>
      <c r="H127" s="111"/>
      <c r="I127" s="111"/>
      <c r="J127" s="247"/>
      <c r="K127" s="244"/>
      <c r="L127" s="244"/>
      <c r="M127" s="244"/>
      <c r="N127" s="111"/>
      <c r="O127" s="111"/>
      <c r="P127" s="111"/>
    </row>
    <row r="128" spans="1:16">
      <c r="A128" s="245"/>
      <c r="B128" s="111"/>
      <c r="C128" s="246"/>
      <c r="D128" s="111"/>
      <c r="E128" s="111"/>
      <c r="F128" s="111"/>
      <c r="G128" s="111"/>
      <c r="H128" s="111"/>
      <c r="I128" s="111"/>
      <c r="J128" s="247"/>
      <c r="K128" s="244"/>
      <c r="L128" s="244"/>
      <c r="M128" s="244"/>
      <c r="N128" s="111"/>
      <c r="O128" s="111"/>
      <c r="P128" s="111"/>
    </row>
    <row r="129" spans="1:16">
      <c r="A129" s="245"/>
      <c r="B129" s="111"/>
      <c r="C129" s="246"/>
      <c r="D129" s="111"/>
      <c r="E129" s="111"/>
      <c r="F129" s="111"/>
      <c r="G129" s="111"/>
      <c r="H129" s="111"/>
      <c r="I129" s="111"/>
      <c r="J129" s="247"/>
      <c r="K129" s="244"/>
      <c r="L129" s="244"/>
      <c r="M129" s="244"/>
      <c r="N129" s="111"/>
      <c r="O129" s="111"/>
      <c r="P129" s="111"/>
    </row>
    <row r="130" spans="1:16">
      <c r="A130" s="245"/>
      <c r="B130" s="111"/>
      <c r="C130" s="246"/>
      <c r="D130" s="111"/>
      <c r="E130" s="111"/>
      <c r="F130" s="111"/>
      <c r="G130" s="111"/>
      <c r="H130" s="111"/>
      <c r="I130" s="111"/>
      <c r="J130" s="247"/>
      <c r="K130" s="244"/>
      <c r="L130" s="244"/>
      <c r="M130" s="244"/>
      <c r="N130" s="111"/>
      <c r="O130" s="111"/>
      <c r="P130" s="111"/>
    </row>
    <row r="131" spans="1:16">
      <c r="A131" s="245"/>
      <c r="B131" s="111"/>
      <c r="C131" s="246"/>
      <c r="D131" s="111"/>
      <c r="E131" s="111"/>
      <c r="F131" s="111"/>
      <c r="G131" s="111"/>
      <c r="H131" s="111"/>
      <c r="I131" s="111"/>
      <c r="J131" s="247"/>
      <c r="K131" s="244"/>
      <c r="L131" s="244"/>
      <c r="M131" s="244"/>
      <c r="N131" s="111"/>
      <c r="O131" s="111"/>
      <c r="P131" s="111"/>
    </row>
    <row r="132" spans="1:16">
      <c r="A132" s="245"/>
      <c r="B132" s="111"/>
      <c r="C132" s="246"/>
      <c r="D132" s="111"/>
      <c r="E132" s="111"/>
      <c r="F132" s="111"/>
      <c r="G132" s="111"/>
      <c r="H132" s="111"/>
      <c r="I132" s="111"/>
      <c r="J132" s="247"/>
      <c r="K132" s="244"/>
      <c r="L132" s="244"/>
      <c r="M132" s="244"/>
      <c r="N132" s="111"/>
      <c r="O132" s="111"/>
      <c r="P132" s="111"/>
    </row>
    <row r="133" spans="1:16">
      <c r="A133" s="245"/>
      <c r="B133" s="111"/>
      <c r="C133" s="246"/>
      <c r="D133" s="111"/>
      <c r="E133" s="111"/>
      <c r="F133" s="111"/>
      <c r="G133" s="111"/>
      <c r="H133" s="111"/>
      <c r="I133" s="111"/>
      <c r="J133" s="247"/>
      <c r="K133" s="244"/>
      <c r="L133" s="244"/>
      <c r="M133" s="244"/>
      <c r="N133" s="111"/>
      <c r="O133" s="111"/>
      <c r="P133" s="111"/>
    </row>
    <row r="134" spans="1:16">
      <c r="A134" s="245"/>
      <c r="B134" s="111"/>
      <c r="C134" s="246"/>
      <c r="D134" s="111"/>
      <c r="E134" s="111"/>
      <c r="F134" s="111"/>
      <c r="G134" s="111"/>
      <c r="H134" s="111"/>
      <c r="I134" s="111"/>
      <c r="J134" s="247"/>
      <c r="K134" s="244"/>
      <c r="L134" s="244"/>
      <c r="M134" s="244"/>
      <c r="N134" s="111"/>
      <c r="O134" s="111"/>
      <c r="P134" s="111"/>
    </row>
    <row r="135" spans="1:16">
      <c r="A135" s="245"/>
      <c r="B135" s="111"/>
      <c r="C135" s="246"/>
      <c r="D135" s="111"/>
      <c r="E135" s="111"/>
      <c r="F135" s="111"/>
      <c r="G135" s="111"/>
      <c r="H135" s="111"/>
      <c r="I135" s="111"/>
      <c r="J135" s="247"/>
      <c r="K135" s="244"/>
      <c r="L135" s="244"/>
      <c r="M135" s="244"/>
      <c r="N135" s="111"/>
      <c r="O135" s="111"/>
      <c r="P135" s="111"/>
    </row>
    <row r="136" spans="1:16">
      <c r="A136" s="245"/>
      <c r="B136" s="111"/>
      <c r="C136" s="246"/>
      <c r="D136" s="111"/>
      <c r="E136" s="111"/>
      <c r="F136" s="111"/>
      <c r="G136" s="111"/>
      <c r="H136" s="111"/>
      <c r="I136" s="111"/>
      <c r="J136" s="247"/>
      <c r="K136" s="244"/>
      <c r="L136" s="244"/>
      <c r="M136" s="244"/>
      <c r="N136" s="111"/>
      <c r="O136" s="111"/>
      <c r="P136" s="111"/>
    </row>
    <row r="137" spans="1:16">
      <c r="A137" s="245"/>
      <c r="B137" s="111"/>
      <c r="C137" s="246"/>
      <c r="D137" s="111"/>
      <c r="E137" s="111"/>
      <c r="F137" s="111"/>
      <c r="G137" s="111"/>
      <c r="H137" s="111"/>
      <c r="I137" s="111"/>
      <c r="J137" s="247"/>
      <c r="K137" s="244"/>
      <c r="L137" s="244"/>
      <c r="M137" s="244"/>
      <c r="N137" s="111"/>
      <c r="O137" s="111"/>
      <c r="P137" s="111"/>
    </row>
  </sheetData>
  <phoneticPr fontId="1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EB34-ED79-4CA8-A6E8-78F9F90040FF}">
  <dimension ref="A1:R133"/>
  <sheetViews>
    <sheetView zoomScaleNormal="100" zoomScaleSheetLayoutView="100" workbookViewId="0">
      <selection activeCell="A7" sqref="A2:XFD7"/>
    </sheetView>
  </sheetViews>
  <sheetFormatPr defaultRowHeight="15"/>
  <cols>
    <col min="2" max="2" width="9.75" style="278"/>
    <col min="4" max="4" width="14.75" customWidth="1"/>
    <col min="5" max="5" width="31.875" customWidth="1"/>
    <col min="6" max="6" width="25.125" customWidth="1"/>
  </cols>
  <sheetData>
    <row r="1" spans="1:18">
      <c r="A1" t="s">
        <v>503</v>
      </c>
      <c r="B1" s="365" t="s">
        <v>17</v>
      </c>
      <c r="C1" s="327" t="s">
        <v>504</v>
      </c>
      <c r="D1" s="327" t="s">
        <v>505</v>
      </c>
      <c r="E1" s="328" t="s">
        <v>506</v>
      </c>
      <c r="F1" s="329" t="s">
        <v>507</v>
      </c>
      <c r="G1" s="329" t="s">
        <v>508</v>
      </c>
      <c r="H1" s="329" t="s">
        <v>509</v>
      </c>
      <c r="I1" s="329" t="s">
        <v>510</v>
      </c>
      <c r="J1" s="330" t="s">
        <v>511</v>
      </c>
      <c r="K1" s="331" t="s">
        <v>26</v>
      </c>
      <c r="L1" s="332" t="s">
        <v>27</v>
      </c>
      <c r="M1" s="333" t="s">
        <v>28</v>
      </c>
      <c r="N1" s="332" t="s">
        <v>29</v>
      </c>
      <c r="O1" s="332" t="s">
        <v>30</v>
      </c>
    </row>
    <row r="2" spans="1:18">
      <c r="A2" s="371"/>
      <c r="B2" s="320"/>
      <c r="C2" s="321"/>
      <c r="D2" s="322"/>
      <c r="E2" s="170"/>
      <c r="F2" s="164"/>
      <c r="G2" s="165"/>
      <c r="H2" s="165"/>
      <c r="I2" s="164"/>
      <c r="J2" s="160"/>
      <c r="K2" s="325"/>
      <c r="L2" s="286"/>
      <c r="M2" s="286"/>
      <c r="N2" s="286"/>
      <c r="O2" s="156"/>
      <c r="R2" s="111"/>
    </row>
    <row r="3" spans="1:18">
      <c r="A3" s="371"/>
      <c r="B3" s="362"/>
      <c r="C3" s="363"/>
      <c r="D3" s="169"/>
      <c r="E3" s="166"/>
      <c r="F3" s="170"/>
      <c r="G3" s="171"/>
      <c r="H3" s="171"/>
      <c r="I3" s="170"/>
      <c r="J3" s="172"/>
      <c r="K3" s="175"/>
      <c r="L3" s="176"/>
      <c r="M3" s="177"/>
      <c r="N3" s="156"/>
      <c r="O3" s="156"/>
      <c r="P3" s="111"/>
      <c r="Q3" s="111"/>
      <c r="R3" s="111"/>
    </row>
    <row r="4" spans="1:18">
      <c r="A4" s="371"/>
      <c r="B4" s="253"/>
      <c r="C4" s="167"/>
      <c r="D4" s="164"/>
      <c r="E4" s="334"/>
      <c r="F4" s="164"/>
      <c r="G4" s="165"/>
      <c r="H4" s="165"/>
      <c r="I4" s="164"/>
      <c r="J4" s="160"/>
      <c r="K4" s="155"/>
      <c r="L4" s="156"/>
      <c r="M4" s="161"/>
      <c r="N4" s="156"/>
      <c r="O4" s="156"/>
      <c r="P4" s="111"/>
      <c r="Q4" s="111"/>
      <c r="R4" s="111"/>
    </row>
    <row r="5" spans="1:18">
      <c r="A5" s="371"/>
      <c r="B5" s="158"/>
      <c r="C5" s="167"/>
      <c r="D5" s="166"/>
      <c r="E5" s="159"/>
      <c r="F5" s="164"/>
      <c r="G5" s="165"/>
      <c r="H5" s="165"/>
      <c r="I5" s="168"/>
      <c r="J5" s="160"/>
      <c r="K5" s="160"/>
      <c r="L5" s="156"/>
      <c r="M5" s="161"/>
      <c r="N5" s="156"/>
      <c r="O5" s="156"/>
    </row>
    <row r="6" spans="1:18">
      <c r="A6" s="371"/>
      <c r="B6" s="315"/>
      <c r="C6" s="337"/>
      <c r="D6" s="283"/>
      <c r="E6" s="328"/>
      <c r="F6" s="283"/>
      <c r="G6" s="336"/>
      <c r="H6" s="336"/>
      <c r="I6" s="283"/>
      <c r="J6" s="284"/>
      <c r="K6" s="160"/>
      <c r="L6" s="286"/>
      <c r="M6" s="286"/>
      <c r="N6" s="286"/>
      <c r="O6" s="156"/>
      <c r="R6" s="6"/>
    </row>
    <row r="7" spans="1:18">
      <c r="A7" s="371"/>
      <c r="B7" s="166"/>
      <c r="C7" s="167"/>
      <c r="D7" s="166"/>
      <c r="E7" s="170"/>
      <c r="F7" s="164"/>
      <c r="G7" s="165"/>
      <c r="H7" s="165"/>
      <c r="I7" s="164"/>
      <c r="J7" s="160"/>
      <c r="K7" s="372"/>
      <c r="L7" s="156"/>
      <c r="M7" s="161"/>
      <c r="N7" s="156"/>
      <c r="O7" s="156"/>
      <c r="P7" s="111"/>
      <c r="Q7" s="111"/>
      <c r="R7" s="6"/>
    </row>
    <row r="8" spans="1:18">
      <c r="B8" s="158"/>
      <c r="C8" s="158"/>
      <c r="D8" s="164"/>
      <c r="E8" s="159"/>
      <c r="F8" s="265"/>
      <c r="G8" s="165"/>
      <c r="H8" s="165"/>
      <c r="I8" s="164"/>
      <c r="J8" s="160"/>
      <c r="K8" s="155"/>
      <c r="L8" s="156"/>
      <c r="M8" s="161"/>
      <c r="N8" s="156"/>
      <c r="O8" s="156"/>
      <c r="P8" s="6"/>
      <c r="Q8" s="6"/>
    </row>
    <row r="9" spans="1:18">
      <c r="B9" s="158"/>
      <c r="C9" s="158"/>
      <c r="D9" s="158"/>
      <c r="E9" s="159"/>
      <c r="F9" s="164"/>
      <c r="G9" s="165"/>
      <c r="H9" s="165"/>
      <c r="I9" s="164"/>
      <c r="J9" s="160"/>
      <c r="K9" s="160"/>
      <c r="L9" s="156"/>
      <c r="M9" s="161"/>
      <c r="N9" s="156"/>
      <c r="O9" s="156"/>
      <c r="R9" s="6"/>
    </row>
    <row r="10" spans="1:18">
      <c r="B10" s="158"/>
      <c r="C10" s="158"/>
      <c r="D10" s="158"/>
      <c r="E10" s="159"/>
      <c r="F10" s="265"/>
      <c r="G10" s="165"/>
      <c r="H10" s="165"/>
      <c r="I10" s="164"/>
      <c r="J10" s="160"/>
      <c r="K10" s="155"/>
      <c r="L10" s="156"/>
      <c r="M10" s="161"/>
      <c r="N10" s="156"/>
      <c r="O10" s="156"/>
      <c r="P10" s="6"/>
      <c r="Q10" s="6"/>
    </row>
    <row r="11" spans="1:18">
      <c r="B11" s="158"/>
      <c r="C11" s="158"/>
      <c r="D11" s="158"/>
      <c r="E11" s="159"/>
      <c r="F11" s="265"/>
      <c r="G11" s="165"/>
      <c r="H11" s="165"/>
      <c r="I11" s="164"/>
      <c r="J11" s="160"/>
      <c r="K11" s="155"/>
      <c r="L11" s="156"/>
      <c r="M11" s="161"/>
      <c r="N11" s="156"/>
      <c r="O11" s="156"/>
    </row>
    <row r="12" spans="1:18">
      <c r="B12" s="158"/>
      <c r="C12" s="158"/>
      <c r="D12" s="157"/>
      <c r="E12" s="159"/>
      <c r="F12" s="164"/>
      <c r="G12" s="165"/>
      <c r="H12" s="165"/>
      <c r="I12" s="164"/>
      <c r="J12" s="160"/>
      <c r="K12" s="155"/>
      <c r="L12" s="156"/>
      <c r="M12" s="161"/>
      <c r="N12" s="156"/>
      <c r="O12" s="156"/>
    </row>
    <row r="13" spans="1:18">
      <c r="B13" s="158"/>
      <c r="C13" s="158"/>
      <c r="D13" s="157"/>
      <c r="E13" s="159"/>
      <c r="F13" s="164"/>
      <c r="G13" s="165"/>
      <c r="H13" s="165"/>
      <c r="I13" s="164"/>
      <c r="J13" s="160"/>
      <c r="K13" s="155"/>
      <c r="L13" s="156"/>
      <c r="M13" s="161"/>
      <c r="N13" s="286">
        <f t="shared" ref="N13:N37" si="0">L13+M13</f>
        <v>0</v>
      </c>
      <c r="O13" s="156">
        <v>0</v>
      </c>
    </row>
    <row r="14" spans="1:18">
      <c r="B14" s="313"/>
      <c r="C14" s="173"/>
      <c r="D14" s="164"/>
      <c r="E14" s="334"/>
      <c r="F14" s="164"/>
      <c r="G14" s="165"/>
      <c r="H14" s="165"/>
      <c r="I14" s="164"/>
      <c r="J14" s="160"/>
      <c r="K14" s="155"/>
      <c r="L14" s="156"/>
      <c r="M14" s="161"/>
      <c r="N14" s="286">
        <f t="shared" si="0"/>
        <v>0</v>
      </c>
      <c r="O14" s="156">
        <v>0</v>
      </c>
    </row>
    <row r="15" spans="1:18">
      <c r="B15" s="253"/>
      <c r="C15" s="167"/>
      <c r="D15" s="164"/>
      <c r="E15" s="334"/>
      <c r="F15" s="164"/>
      <c r="G15" s="165"/>
      <c r="H15" s="165"/>
      <c r="I15" s="164"/>
      <c r="J15" s="160"/>
      <c r="K15" s="155"/>
      <c r="L15" s="156"/>
      <c r="M15" s="161"/>
      <c r="N15" s="286">
        <f t="shared" si="0"/>
        <v>0</v>
      </c>
      <c r="O15" s="156">
        <v>0</v>
      </c>
    </row>
    <row r="16" spans="1:18">
      <c r="B16" s="313"/>
      <c r="C16" s="173"/>
      <c r="D16" s="164"/>
      <c r="E16" s="159"/>
      <c r="F16" s="164"/>
      <c r="G16" s="165"/>
      <c r="H16" s="165"/>
      <c r="I16" s="164"/>
      <c r="J16" s="160"/>
      <c r="K16" s="155"/>
      <c r="L16" s="156"/>
      <c r="M16" s="156"/>
      <c r="N16" s="286">
        <f t="shared" si="0"/>
        <v>0</v>
      </c>
      <c r="O16" s="156">
        <v>0</v>
      </c>
    </row>
    <row r="17" spans="2:15">
      <c r="B17" s="365"/>
      <c r="C17" s="335"/>
      <c r="D17" s="283"/>
      <c r="E17" s="328"/>
      <c r="F17" s="283"/>
      <c r="G17" s="336"/>
      <c r="H17" s="336"/>
      <c r="I17" s="283"/>
      <c r="J17" s="284"/>
      <c r="K17" s="285"/>
      <c r="L17" s="286"/>
      <c r="M17" s="286"/>
      <c r="N17" s="286">
        <f t="shared" si="0"/>
        <v>0</v>
      </c>
      <c r="O17" s="156">
        <v>0</v>
      </c>
    </row>
    <row r="18" spans="2:15">
      <c r="B18" s="315"/>
      <c r="C18" s="337"/>
      <c r="D18" s="283"/>
      <c r="E18" s="328"/>
      <c r="F18" s="283"/>
      <c r="G18" s="336"/>
      <c r="H18" s="336"/>
      <c r="I18" s="283"/>
      <c r="J18" s="284"/>
      <c r="K18" s="285"/>
      <c r="L18" s="286"/>
      <c r="M18" s="286"/>
      <c r="N18" s="286">
        <f t="shared" si="0"/>
        <v>0</v>
      </c>
      <c r="O18" s="156">
        <v>0</v>
      </c>
    </row>
    <row r="19" spans="2:15">
      <c r="B19" s="315"/>
      <c r="C19" s="337"/>
      <c r="D19" s="283"/>
      <c r="E19" s="328"/>
      <c r="F19" s="283"/>
      <c r="G19" s="336"/>
      <c r="H19" s="336"/>
      <c r="I19" s="283"/>
      <c r="J19" s="284"/>
      <c r="K19" s="285"/>
      <c r="L19" s="286"/>
      <c r="M19" s="286"/>
      <c r="N19" s="286">
        <f t="shared" si="0"/>
        <v>0</v>
      </c>
      <c r="O19" s="156">
        <v>0</v>
      </c>
    </row>
    <row r="20" spans="2:15">
      <c r="B20" s="315"/>
      <c r="C20" s="337"/>
      <c r="D20" s="283"/>
      <c r="E20" s="328"/>
      <c r="F20" s="283"/>
      <c r="G20" s="336"/>
      <c r="H20" s="336"/>
      <c r="I20" s="283"/>
      <c r="J20" s="284"/>
      <c r="K20" s="285"/>
      <c r="L20" s="286"/>
      <c r="M20" s="286"/>
      <c r="N20" s="286">
        <f t="shared" si="0"/>
        <v>0</v>
      </c>
      <c r="O20" s="156">
        <v>0</v>
      </c>
    </row>
    <row r="21" spans="2:15">
      <c r="B21" s="315"/>
      <c r="C21" s="337"/>
      <c r="D21" s="283"/>
      <c r="E21" s="328"/>
      <c r="F21" s="283"/>
      <c r="G21" s="336"/>
      <c r="H21" s="336"/>
      <c r="I21" s="283"/>
      <c r="J21" s="284"/>
      <c r="K21" s="285"/>
      <c r="L21" s="286"/>
      <c r="M21" s="286"/>
      <c r="N21" s="286">
        <f t="shared" si="0"/>
        <v>0</v>
      </c>
      <c r="O21" s="156">
        <v>0</v>
      </c>
    </row>
    <row r="22" spans="2:15">
      <c r="B22" s="315"/>
      <c r="C22" s="337"/>
      <c r="D22" s="283"/>
      <c r="E22" s="338"/>
      <c r="F22" s="283"/>
      <c r="G22" s="336"/>
      <c r="H22" s="336"/>
      <c r="I22" s="283"/>
      <c r="J22" s="284"/>
      <c r="K22" s="285"/>
      <c r="L22" s="286"/>
      <c r="M22" s="286"/>
      <c r="N22" s="286">
        <f t="shared" si="0"/>
        <v>0</v>
      </c>
      <c r="O22" s="156">
        <v>0</v>
      </c>
    </row>
    <row r="23" spans="2:15">
      <c r="B23" s="315"/>
      <c r="C23" s="337"/>
      <c r="D23" s="283"/>
      <c r="E23" s="283"/>
      <c r="F23" s="283"/>
      <c r="G23" s="336"/>
      <c r="H23" s="336"/>
      <c r="I23" s="283"/>
      <c r="J23" s="284"/>
      <c r="K23" s="285"/>
      <c r="L23" s="286"/>
      <c r="M23" s="286"/>
      <c r="N23" s="286">
        <f t="shared" si="0"/>
        <v>0</v>
      </c>
      <c r="O23" s="156">
        <v>0</v>
      </c>
    </row>
    <row r="24" spans="2:15">
      <c r="B24" s="315"/>
      <c r="C24" s="337"/>
      <c r="D24" s="283"/>
      <c r="E24" s="338"/>
      <c r="F24" s="283"/>
      <c r="G24" s="336"/>
      <c r="H24" s="336"/>
      <c r="I24" s="283"/>
      <c r="J24" s="284"/>
      <c r="K24" s="285"/>
      <c r="L24" s="286"/>
      <c r="M24" s="286"/>
      <c r="N24" s="286">
        <f t="shared" si="0"/>
        <v>0</v>
      </c>
      <c r="O24" s="156">
        <v>0</v>
      </c>
    </row>
    <row r="25" spans="2:15">
      <c r="B25" s="315"/>
      <c r="C25" s="337"/>
      <c r="D25" s="283"/>
      <c r="E25" s="283"/>
      <c r="F25" s="283"/>
      <c r="G25" s="336"/>
      <c r="H25" s="336"/>
      <c r="I25" s="283"/>
      <c r="J25" s="284"/>
      <c r="K25" s="285"/>
      <c r="L25" s="286"/>
      <c r="M25" s="286"/>
      <c r="N25" s="286">
        <f t="shared" si="0"/>
        <v>0</v>
      </c>
      <c r="O25" s="156">
        <v>0</v>
      </c>
    </row>
    <row r="26" spans="2:15">
      <c r="B26" s="315"/>
      <c r="C26" s="337"/>
      <c r="D26" s="283"/>
      <c r="E26" s="328"/>
      <c r="F26" s="283"/>
      <c r="G26" s="336"/>
      <c r="H26" s="336"/>
      <c r="I26" s="283"/>
      <c r="J26" s="284"/>
      <c r="K26" s="285"/>
      <c r="L26" s="286"/>
      <c r="M26" s="286"/>
      <c r="N26" s="286">
        <f t="shared" si="0"/>
        <v>0</v>
      </c>
      <c r="O26" s="156">
        <v>0</v>
      </c>
    </row>
    <row r="27" spans="2:15">
      <c r="B27" s="315"/>
      <c r="C27" s="337"/>
      <c r="D27" s="283"/>
      <c r="E27" s="339"/>
      <c r="F27" s="283"/>
      <c r="G27" s="336"/>
      <c r="H27" s="336"/>
      <c r="I27" s="283"/>
      <c r="J27" s="284"/>
      <c r="K27" s="285"/>
      <c r="L27" s="286"/>
      <c r="M27" s="286"/>
      <c r="N27" s="286">
        <f t="shared" si="0"/>
        <v>0</v>
      </c>
      <c r="O27" s="156">
        <v>0</v>
      </c>
    </row>
    <row r="28" spans="2:15">
      <c r="B28" s="315"/>
      <c r="C28" s="337"/>
      <c r="D28" s="283"/>
      <c r="E28" s="328"/>
      <c r="F28" s="283"/>
      <c r="G28" s="336"/>
      <c r="H28" s="336"/>
      <c r="I28" s="283"/>
      <c r="J28" s="284"/>
      <c r="K28" s="285"/>
      <c r="L28" s="286"/>
      <c r="M28" s="286"/>
      <c r="N28" s="286">
        <f t="shared" si="0"/>
        <v>0</v>
      </c>
      <c r="O28" s="156">
        <v>0</v>
      </c>
    </row>
    <row r="29" spans="2:15">
      <c r="B29" s="315"/>
      <c r="C29" s="337"/>
      <c r="D29" s="283"/>
      <c r="E29" s="340"/>
      <c r="F29" s="283"/>
      <c r="G29" s="336"/>
      <c r="H29" s="336"/>
      <c r="I29" s="283"/>
      <c r="J29" s="284"/>
      <c r="K29" s="285"/>
      <c r="L29" s="286"/>
      <c r="M29" s="286"/>
      <c r="N29" s="286">
        <f t="shared" si="0"/>
        <v>0</v>
      </c>
      <c r="O29" s="156">
        <v>0</v>
      </c>
    </row>
    <row r="30" spans="2:15">
      <c r="B30" s="315"/>
      <c r="C30" s="337"/>
      <c r="D30" s="283"/>
      <c r="E30" s="328"/>
      <c r="F30" s="283"/>
      <c r="G30" s="336"/>
      <c r="H30" s="336"/>
      <c r="I30" s="283"/>
      <c r="J30" s="284"/>
      <c r="K30" s="285"/>
      <c r="L30" s="286"/>
      <c r="M30" s="286"/>
      <c r="N30" s="286">
        <f t="shared" si="0"/>
        <v>0</v>
      </c>
      <c r="O30" s="156">
        <v>0</v>
      </c>
    </row>
    <row r="31" spans="2:15">
      <c r="B31" s="315"/>
      <c r="C31" s="337"/>
      <c r="D31" s="283"/>
      <c r="E31" s="328"/>
      <c r="F31" s="283"/>
      <c r="G31" s="336"/>
      <c r="H31" s="336"/>
      <c r="I31" s="283"/>
      <c r="J31" s="284"/>
      <c r="K31" s="285"/>
      <c r="L31" s="286"/>
      <c r="M31" s="286"/>
      <c r="N31" s="286">
        <f t="shared" si="0"/>
        <v>0</v>
      </c>
      <c r="O31" s="156">
        <v>0</v>
      </c>
    </row>
    <row r="32" spans="2:15">
      <c r="B32" s="315"/>
      <c r="C32" s="337"/>
      <c r="D32" s="283"/>
      <c r="E32" s="338"/>
      <c r="F32" s="341"/>
      <c r="G32" s="336"/>
      <c r="H32" s="336"/>
      <c r="I32" s="341"/>
      <c r="J32" s="342"/>
      <c r="K32" s="343"/>
      <c r="L32" s="344"/>
      <c r="M32" s="344"/>
      <c r="N32" s="286">
        <f t="shared" si="0"/>
        <v>0</v>
      </c>
      <c r="O32" s="156">
        <v>0</v>
      </c>
    </row>
    <row r="33" spans="2:15">
      <c r="B33" s="369"/>
      <c r="C33" s="345"/>
      <c r="D33" s="341"/>
      <c r="E33" s="328"/>
      <c r="F33" s="341"/>
      <c r="G33" s="336"/>
      <c r="H33" s="336"/>
      <c r="I33" s="341"/>
      <c r="J33" s="342"/>
      <c r="K33" s="343"/>
      <c r="L33" s="344"/>
      <c r="M33" s="344"/>
      <c r="N33" s="286">
        <f t="shared" si="0"/>
        <v>0</v>
      </c>
      <c r="O33" s="156">
        <v>0</v>
      </c>
    </row>
    <row r="34" spans="2:15">
      <c r="B34" s="369"/>
      <c r="C34" s="345"/>
      <c r="D34" s="341"/>
      <c r="E34" s="346"/>
      <c r="F34" s="341"/>
      <c r="G34" s="336"/>
      <c r="H34" s="336"/>
      <c r="I34" s="341"/>
      <c r="J34" s="342"/>
      <c r="K34" s="343"/>
      <c r="L34" s="344"/>
      <c r="M34" s="344"/>
      <c r="N34" s="286">
        <f t="shared" si="0"/>
        <v>0</v>
      </c>
      <c r="O34" s="156">
        <v>0</v>
      </c>
    </row>
    <row r="35" spans="2:15">
      <c r="B35" s="369"/>
      <c r="C35" s="345"/>
      <c r="D35" s="341"/>
      <c r="E35" s="346"/>
      <c r="F35" s="341"/>
      <c r="G35" s="336"/>
      <c r="H35" s="336"/>
      <c r="I35" s="341"/>
      <c r="J35" s="342"/>
      <c r="K35" s="343"/>
      <c r="L35" s="344"/>
      <c r="M35" s="344"/>
      <c r="N35" s="286">
        <f t="shared" si="0"/>
        <v>0</v>
      </c>
      <c r="O35" s="156">
        <v>0</v>
      </c>
    </row>
    <row r="36" spans="2:15">
      <c r="B36" s="369"/>
      <c r="C36" s="345"/>
      <c r="D36" s="341"/>
      <c r="E36" s="328"/>
      <c r="F36" s="341"/>
      <c r="G36" s="336"/>
      <c r="H36" s="336"/>
      <c r="I36" s="341"/>
      <c r="J36" s="342"/>
      <c r="K36" s="343"/>
      <c r="L36" s="344"/>
      <c r="M36" s="344"/>
      <c r="N36" s="286">
        <f t="shared" si="0"/>
        <v>0</v>
      </c>
      <c r="O36" s="156">
        <v>0</v>
      </c>
    </row>
    <row r="37" spans="2:15">
      <c r="B37" s="370"/>
      <c r="C37" s="347"/>
      <c r="D37" s="341"/>
      <c r="E37" s="317"/>
      <c r="F37" s="341"/>
      <c r="G37" s="336"/>
      <c r="H37" s="336"/>
      <c r="I37" s="341"/>
      <c r="J37" s="342"/>
      <c r="K37" s="343"/>
      <c r="L37" s="344"/>
      <c r="M37" s="344"/>
      <c r="N37" s="286">
        <f t="shared" si="0"/>
        <v>0</v>
      </c>
      <c r="O37" s="156">
        <v>0</v>
      </c>
    </row>
    <row r="38" spans="2:15">
      <c r="B38" s="348"/>
      <c r="C38" s="349"/>
      <c r="D38" s="350"/>
      <c r="E38" s="351"/>
      <c r="F38" s="350"/>
      <c r="G38" s="352"/>
      <c r="H38" s="352"/>
      <c r="I38" s="350"/>
      <c r="J38" s="353"/>
      <c r="K38" s="354"/>
      <c r="L38" s="355"/>
      <c r="M38" s="355"/>
      <c r="N38" s="356"/>
      <c r="O38" s="156">
        <v>0</v>
      </c>
    </row>
    <row r="39" spans="2:15">
      <c r="B39" s="357"/>
      <c r="C39" s="358"/>
      <c r="D39" s="359"/>
      <c r="E39" s="358"/>
      <c r="F39" s="358"/>
      <c r="G39" s="358"/>
      <c r="H39" s="358"/>
      <c r="I39" s="358"/>
      <c r="K39" s="360"/>
      <c r="L39" s="361"/>
      <c r="M39" s="361"/>
      <c r="N39" s="28"/>
      <c r="O39" s="156">
        <v>0</v>
      </c>
    </row>
    <row r="40" spans="2:15">
      <c r="B40" s="357"/>
      <c r="C40" s="358"/>
      <c r="D40" s="359"/>
      <c r="E40" s="358"/>
      <c r="F40" s="358"/>
      <c r="G40" s="358"/>
      <c r="H40" s="358"/>
      <c r="I40" s="358"/>
      <c r="K40" s="360"/>
      <c r="L40" s="361"/>
      <c r="M40" s="361"/>
      <c r="N40" s="27"/>
    </row>
    <row r="41" spans="2:15">
      <c r="B41" s="357"/>
      <c r="C41" s="358"/>
      <c r="D41" s="359"/>
      <c r="E41" s="358"/>
      <c r="F41" s="358"/>
      <c r="G41" s="358"/>
      <c r="H41" s="358"/>
      <c r="I41" s="358"/>
      <c r="K41" s="360"/>
      <c r="L41" s="361"/>
      <c r="M41" s="361"/>
      <c r="N41" s="26">
        <f>SUM(N2:N37)</f>
        <v>0</v>
      </c>
      <c r="O41" s="26">
        <f>SUM(O2:O38)</f>
        <v>0</v>
      </c>
    </row>
    <row r="42" spans="2:15">
      <c r="B42" s="29"/>
      <c r="D42" s="30"/>
      <c r="K42" s="31"/>
      <c r="L42" s="28"/>
      <c r="M42" s="28"/>
      <c r="N42" s="28"/>
    </row>
    <row r="43" spans="2:15">
      <c r="B43" s="29"/>
      <c r="D43" s="30"/>
      <c r="K43" s="31"/>
      <c r="L43" s="28"/>
      <c r="M43" s="28"/>
      <c r="N43" s="28"/>
    </row>
    <row r="44" spans="2:15">
      <c r="B44" s="29"/>
      <c r="D44" s="30"/>
      <c r="K44" s="31"/>
      <c r="L44" s="28"/>
      <c r="M44" s="28"/>
      <c r="N44" s="28"/>
    </row>
    <row r="45" spans="2:15">
      <c r="B45" s="29"/>
      <c r="D45" s="30"/>
      <c r="K45" s="31"/>
      <c r="L45" s="28"/>
      <c r="M45" s="28"/>
      <c r="N45" s="28"/>
    </row>
    <row r="46" spans="2:15">
      <c r="B46" s="29"/>
      <c r="D46" s="30"/>
      <c r="K46" s="31"/>
      <c r="L46" s="28"/>
      <c r="M46" s="28"/>
      <c r="N46" s="28"/>
    </row>
    <row r="47" spans="2:15">
      <c r="B47" s="29"/>
      <c r="D47" s="30"/>
      <c r="K47" s="31"/>
      <c r="L47" s="28"/>
      <c r="M47" s="28"/>
      <c r="N47" s="28"/>
    </row>
    <row r="48" spans="2:15">
      <c r="B48" s="29"/>
      <c r="D48" s="30"/>
      <c r="K48" s="31"/>
      <c r="L48" s="28"/>
      <c r="M48" s="28"/>
      <c r="N48" s="28"/>
    </row>
    <row r="49" spans="2:14">
      <c r="B49" s="29"/>
      <c r="D49" s="30"/>
      <c r="K49" s="31"/>
      <c r="L49" s="28"/>
      <c r="M49" s="28"/>
      <c r="N49" s="28"/>
    </row>
    <row r="50" spans="2:14">
      <c r="B50" s="29"/>
      <c r="D50" s="30"/>
      <c r="K50" s="31"/>
      <c r="L50" s="28"/>
      <c r="M50" s="28"/>
      <c r="N50" s="28"/>
    </row>
    <row r="51" spans="2:14">
      <c r="B51" s="29"/>
      <c r="D51" s="30"/>
      <c r="K51" s="31"/>
      <c r="L51" s="28"/>
      <c r="M51" s="28"/>
      <c r="N51" s="28"/>
    </row>
    <row r="52" spans="2:14">
      <c r="B52" s="29"/>
      <c r="D52" s="30"/>
      <c r="K52" s="31"/>
      <c r="L52" s="28"/>
      <c r="M52" s="28"/>
      <c r="N52" s="28"/>
    </row>
    <row r="53" spans="2:14">
      <c r="B53" s="29"/>
      <c r="D53" s="30"/>
      <c r="K53" s="31"/>
      <c r="L53" s="28"/>
      <c r="M53" s="28"/>
      <c r="N53" s="28"/>
    </row>
    <row r="54" spans="2:14">
      <c r="B54" s="29"/>
      <c r="D54" s="30"/>
      <c r="K54" s="31"/>
      <c r="L54" s="28"/>
      <c r="M54" s="28"/>
      <c r="N54" s="28"/>
    </row>
    <row r="55" spans="2:14">
      <c r="B55" s="29"/>
      <c r="D55" s="30"/>
      <c r="K55" s="31"/>
      <c r="L55" s="28"/>
      <c r="M55" s="28"/>
      <c r="N55" s="28"/>
    </row>
    <row r="56" spans="2:14">
      <c r="B56" s="29"/>
      <c r="D56" s="30"/>
      <c r="K56" s="31"/>
      <c r="L56" s="28"/>
      <c r="M56" s="28"/>
      <c r="N56" s="28"/>
    </row>
    <row r="57" spans="2:14">
      <c r="B57" s="29"/>
      <c r="D57" s="30"/>
      <c r="K57" s="31"/>
      <c r="L57" s="28"/>
      <c r="M57" s="28"/>
      <c r="N57" s="28"/>
    </row>
    <row r="58" spans="2:14">
      <c r="B58" s="29"/>
      <c r="D58" s="30"/>
      <c r="K58" s="31"/>
      <c r="L58" s="28"/>
      <c r="M58" s="28"/>
      <c r="N58" s="28"/>
    </row>
    <row r="59" spans="2:14">
      <c r="B59" s="29"/>
      <c r="D59" s="30"/>
      <c r="K59" s="31"/>
      <c r="L59" s="28"/>
      <c r="M59" s="28"/>
      <c r="N59" s="28"/>
    </row>
    <row r="60" spans="2:14">
      <c r="B60" s="29"/>
      <c r="D60" s="30"/>
      <c r="K60" s="31"/>
      <c r="L60" s="28"/>
      <c r="M60" s="28"/>
      <c r="N60" s="28"/>
    </row>
    <row r="61" spans="2:14">
      <c r="B61" s="29"/>
      <c r="D61" s="30"/>
      <c r="K61" s="31"/>
      <c r="L61" s="28"/>
      <c r="M61" s="28"/>
      <c r="N61" s="28"/>
    </row>
    <row r="62" spans="2:14">
      <c r="B62" s="29"/>
      <c r="D62" s="30"/>
      <c r="K62" s="31"/>
      <c r="L62" s="28"/>
      <c r="M62" s="28"/>
      <c r="N62" s="28"/>
    </row>
    <row r="63" spans="2:14">
      <c r="B63" s="29"/>
      <c r="D63" s="30"/>
      <c r="K63" s="31"/>
      <c r="L63" s="28"/>
      <c r="M63" s="28"/>
      <c r="N63" s="28"/>
    </row>
    <row r="64" spans="2:14">
      <c r="B64" s="29"/>
      <c r="D64" s="30"/>
      <c r="K64" s="31"/>
      <c r="L64" s="28"/>
      <c r="M64" s="28"/>
      <c r="N64" s="28"/>
    </row>
    <row r="65" spans="2:14">
      <c r="B65" s="29"/>
      <c r="D65" s="30"/>
      <c r="K65" s="31"/>
      <c r="L65" s="28"/>
      <c r="M65" s="28"/>
      <c r="N65" s="28"/>
    </row>
    <row r="66" spans="2:14">
      <c r="B66" s="29"/>
      <c r="D66" s="30"/>
      <c r="K66" s="31"/>
      <c r="L66" s="28"/>
      <c r="M66" s="28"/>
      <c r="N66" s="28"/>
    </row>
    <row r="67" spans="2:14">
      <c r="B67" s="29"/>
      <c r="D67" s="30"/>
      <c r="K67" s="31"/>
      <c r="L67" s="28"/>
      <c r="M67" s="28"/>
      <c r="N67" s="28"/>
    </row>
    <row r="68" spans="2:14">
      <c r="B68" s="29"/>
      <c r="D68" s="30"/>
      <c r="K68" s="31"/>
      <c r="L68" s="28"/>
      <c r="M68" s="28"/>
      <c r="N68" s="28"/>
    </row>
    <row r="69" spans="2:14">
      <c r="B69" s="29"/>
      <c r="D69" s="30"/>
      <c r="K69" s="31"/>
      <c r="L69" s="28"/>
      <c r="M69" s="28"/>
      <c r="N69" s="28"/>
    </row>
    <row r="70" spans="2:14">
      <c r="B70" s="29"/>
      <c r="D70" s="30"/>
      <c r="K70" s="31"/>
      <c r="L70" s="28"/>
      <c r="M70" s="28"/>
      <c r="N70" s="28"/>
    </row>
    <row r="71" spans="2:14">
      <c r="B71" s="29"/>
      <c r="D71" s="30"/>
      <c r="K71" s="31"/>
      <c r="L71" s="28"/>
      <c r="M71" s="28"/>
      <c r="N71" s="28"/>
    </row>
    <row r="72" spans="2:14">
      <c r="B72" s="29"/>
      <c r="D72" s="30"/>
      <c r="K72" s="31"/>
      <c r="L72" s="28"/>
      <c r="M72" s="28"/>
      <c r="N72" s="28"/>
    </row>
    <row r="73" spans="2:14">
      <c r="B73" s="29"/>
      <c r="D73" s="30"/>
      <c r="K73" s="31"/>
      <c r="L73" s="28"/>
      <c r="M73" s="28"/>
      <c r="N73" s="28"/>
    </row>
    <row r="74" spans="2:14">
      <c r="B74" s="29"/>
      <c r="D74" s="30"/>
      <c r="K74" s="31"/>
      <c r="L74" s="28"/>
      <c r="M74" s="28"/>
      <c r="N74" s="28"/>
    </row>
    <row r="75" spans="2:14">
      <c r="B75" s="29"/>
      <c r="D75" s="30"/>
      <c r="K75" s="31"/>
      <c r="L75" s="28"/>
      <c r="M75" s="28"/>
      <c r="N75" s="28"/>
    </row>
    <row r="76" spans="2:14">
      <c r="B76" s="29"/>
      <c r="D76" s="30"/>
      <c r="K76" s="31"/>
      <c r="L76" s="28"/>
      <c r="M76" s="28"/>
      <c r="N76" s="28"/>
    </row>
    <row r="77" spans="2:14">
      <c r="B77" s="29"/>
      <c r="D77" s="30"/>
      <c r="K77" s="31"/>
      <c r="L77" s="28"/>
      <c r="M77" s="28"/>
      <c r="N77" s="28"/>
    </row>
    <row r="78" spans="2:14">
      <c r="B78" s="29"/>
      <c r="D78" s="30"/>
      <c r="K78" s="31"/>
      <c r="L78" s="28"/>
      <c r="M78" s="28"/>
      <c r="N78" s="28"/>
    </row>
    <row r="79" spans="2:14">
      <c r="B79" s="29"/>
      <c r="D79" s="30"/>
      <c r="K79" s="31"/>
      <c r="L79" s="28"/>
      <c r="M79" s="28"/>
      <c r="N79" s="28"/>
    </row>
    <row r="80" spans="2:14">
      <c r="B80" s="29"/>
      <c r="D80" s="30"/>
      <c r="K80" s="31"/>
      <c r="L80" s="28"/>
      <c r="M80" s="28"/>
      <c r="N80" s="28"/>
    </row>
    <row r="81" spans="2:14">
      <c r="B81" s="29"/>
      <c r="D81" s="30"/>
      <c r="K81" s="31"/>
      <c r="L81" s="28"/>
      <c r="M81" s="28"/>
      <c r="N81" s="28"/>
    </row>
    <row r="82" spans="2:14">
      <c r="B82" s="29"/>
      <c r="D82" s="30"/>
      <c r="K82" s="31"/>
      <c r="L82" s="28"/>
      <c r="M82" s="28"/>
      <c r="N82" s="28"/>
    </row>
    <row r="83" spans="2:14">
      <c r="B83" s="29"/>
      <c r="D83" s="30"/>
      <c r="K83" s="31"/>
      <c r="L83" s="28"/>
      <c r="M83" s="28"/>
      <c r="N83" s="28"/>
    </row>
    <row r="84" spans="2:14">
      <c r="B84" s="29"/>
      <c r="D84" s="30"/>
      <c r="K84" s="31"/>
      <c r="L84" s="28"/>
      <c r="M84" s="28"/>
      <c r="N84" s="28"/>
    </row>
    <row r="85" spans="2:14">
      <c r="B85" s="29"/>
      <c r="D85" s="30"/>
      <c r="K85" s="31"/>
      <c r="L85" s="28"/>
      <c r="M85" s="28"/>
      <c r="N85" s="28"/>
    </row>
    <row r="86" spans="2:14">
      <c r="B86" s="29"/>
      <c r="D86" s="30"/>
      <c r="K86" s="31"/>
      <c r="L86" s="28"/>
      <c r="M86" s="28"/>
      <c r="N86" s="28"/>
    </row>
    <row r="87" spans="2:14">
      <c r="B87" s="29"/>
      <c r="D87" s="30"/>
      <c r="K87" s="31"/>
      <c r="L87" s="28"/>
      <c r="M87" s="28"/>
      <c r="N87" s="28"/>
    </row>
    <row r="88" spans="2:14">
      <c r="B88" s="29"/>
      <c r="D88" s="30"/>
      <c r="K88" s="31"/>
      <c r="L88" s="28"/>
      <c r="M88" s="28"/>
      <c r="N88" s="28"/>
    </row>
    <row r="89" spans="2:14">
      <c r="B89" s="29"/>
      <c r="D89" s="30"/>
      <c r="K89" s="31"/>
      <c r="L89" s="28"/>
      <c r="M89" s="28"/>
      <c r="N89" s="28"/>
    </row>
    <row r="90" spans="2:14">
      <c r="B90" s="29"/>
      <c r="D90" s="30"/>
      <c r="K90" s="31"/>
      <c r="L90" s="28"/>
      <c r="M90" s="28"/>
      <c r="N90" s="28"/>
    </row>
    <row r="91" spans="2:14">
      <c r="B91" s="29"/>
      <c r="D91" s="30"/>
      <c r="K91" s="31"/>
      <c r="L91" s="28"/>
      <c r="M91" s="28"/>
      <c r="N91" s="28"/>
    </row>
    <row r="92" spans="2:14">
      <c r="B92" s="29"/>
      <c r="D92" s="30"/>
      <c r="K92" s="31"/>
      <c r="L92" s="28"/>
      <c r="M92" s="28"/>
      <c r="N92" s="28"/>
    </row>
    <row r="93" spans="2:14">
      <c r="B93" s="29"/>
      <c r="D93" s="30"/>
      <c r="K93" s="31"/>
      <c r="L93" s="28"/>
      <c r="M93" s="28"/>
      <c r="N93" s="28"/>
    </row>
    <row r="94" spans="2:14">
      <c r="B94" s="29"/>
      <c r="D94" s="30"/>
      <c r="K94" s="31"/>
      <c r="L94" s="28"/>
      <c r="M94" s="28"/>
      <c r="N94" s="28"/>
    </row>
    <row r="95" spans="2:14">
      <c r="B95" s="29"/>
      <c r="D95" s="30"/>
      <c r="K95" s="31"/>
      <c r="L95" s="28"/>
      <c r="M95" s="28"/>
      <c r="N95" s="28"/>
    </row>
    <row r="96" spans="2:14">
      <c r="B96" s="29"/>
      <c r="D96" s="30"/>
      <c r="K96" s="31"/>
      <c r="L96" s="28"/>
      <c r="M96" s="28"/>
      <c r="N96" s="28"/>
    </row>
    <row r="97" spans="2:14">
      <c r="B97" s="29"/>
      <c r="D97" s="30"/>
      <c r="K97" s="31"/>
      <c r="L97" s="28"/>
      <c r="M97" s="28"/>
      <c r="N97" s="28"/>
    </row>
    <row r="98" spans="2:14">
      <c r="B98" s="29"/>
      <c r="D98" s="30"/>
      <c r="K98" s="31"/>
      <c r="L98" s="28"/>
      <c r="M98" s="28"/>
      <c r="N98" s="28"/>
    </row>
    <row r="99" spans="2:14">
      <c r="B99" s="29"/>
      <c r="D99" s="30"/>
      <c r="K99" s="31"/>
      <c r="L99" s="28"/>
      <c r="M99" s="28"/>
      <c r="N99" s="28"/>
    </row>
    <row r="100" spans="2:14">
      <c r="B100" s="29"/>
      <c r="D100" s="30"/>
      <c r="K100" s="31"/>
      <c r="L100" s="28"/>
      <c r="M100" s="28"/>
      <c r="N100" s="28"/>
    </row>
    <row r="101" spans="2:14">
      <c r="B101" s="29"/>
      <c r="D101" s="30"/>
      <c r="K101" s="31"/>
      <c r="L101" s="28"/>
      <c r="M101" s="28"/>
      <c r="N101" s="28"/>
    </row>
    <row r="102" spans="2:14">
      <c r="B102" s="29"/>
      <c r="D102" s="30"/>
      <c r="K102" s="31"/>
      <c r="L102" s="28"/>
      <c r="M102" s="28"/>
      <c r="N102" s="28"/>
    </row>
    <row r="103" spans="2:14">
      <c r="B103" s="29"/>
      <c r="D103" s="30"/>
      <c r="K103" s="31"/>
      <c r="L103" s="28"/>
      <c r="M103" s="28"/>
      <c r="N103" s="28"/>
    </row>
    <row r="104" spans="2:14">
      <c r="B104" s="29"/>
      <c r="D104" s="30"/>
      <c r="K104" s="31"/>
      <c r="L104" s="28"/>
      <c r="M104" s="28"/>
      <c r="N104" s="28"/>
    </row>
    <row r="105" spans="2:14">
      <c r="B105" s="29"/>
      <c r="D105" s="30"/>
      <c r="K105" s="31"/>
      <c r="L105" s="28"/>
      <c r="M105" s="28"/>
      <c r="N105" s="28"/>
    </row>
    <row r="106" spans="2:14">
      <c r="B106" s="29"/>
      <c r="D106" s="30"/>
      <c r="K106" s="31"/>
      <c r="L106" s="28"/>
      <c r="M106" s="28"/>
      <c r="N106" s="28"/>
    </row>
    <row r="107" spans="2:14">
      <c r="B107" s="29"/>
      <c r="D107" s="30"/>
      <c r="K107" s="31"/>
      <c r="L107" s="28"/>
      <c r="M107" s="28"/>
      <c r="N107" s="28"/>
    </row>
    <row r="108" spans="2:14">
      <c r="B108" s="29"/>
      <c r="D108" s="30"/>
      <c r="K108" s="31"/>
      <c r="L108" s="28"/>
      <c r="M108" s="28"/>
      <c r="N108" s="28"/>
    </row>
    <row r="109" spans="2:14">
      <c r="B109" s="29"/>
      <c r="D109" s="30"/>
      <c r="K109" s="31"/>
      <c r="L109" s="28"/>
      <c r="M109" s="28"/>
      <c r="N109" s="28"/>
    </row>
    <row r="110" spans="2:14">
      <c r="B110" s="29"/>
      <c r="D110" s="30"/>
      <c r="K110" s="31"/>
      <c r="L110" s="28"/>
      <c r="M110" s="28"/>
      <c r="N110" s="28"/>
    </row>
    <row r="111" spans="2:14">
      <c r="B111" s="29"/>
      <c r="D111" s="30"/>
      <c r="K111" s="31"/>
      <c r="L111" s="28"/>
      <c r="M111" s="28"/>
      <c r="N111" s="28"/>
    </row>
    <row r="112" spans="2:14">
      <c r="B112" s="29"/>
      <c r="D112" s="30"/>
      <c r="K112" s="31"/>
      <c r="L112" s="28"/>
      <c r="M112" s="28"/>
      <c r="N112" s="28"/>
    </row>
    <row r="113" spans="2:14">
      <c r="B113" s="29"/>
      <c r="D113" s="30"/>
      <c r="K113" s="31"/>
      <c r="L113" s="28"/>
      <c r="M113" s="28"/>
      <c r="N113" s="28"/>
    </row>
    <row r="114" spans="2:14">
      <c r="B114" s="29"/>
      <c r="D114" s="30"/>
      <c r="K114" s="31"/>
      <c r="L114" s="28"/>
      <c r="M114" s="28"/>
      <c r="N114" s="28"/>
    </row>
    <row r="115" spans="2:14">
      <c r="B115" s="29"/>
      <c r="D115" s="30"/>
      <c r="K115" s="31"/>
      <c r="L115" s="28"/>
      <c r="M115" s="28"/>
      <c r="N115" s="28"/>
    </row>
    <row r="116" spans="2:14">
      <c r="B116" s="29"/>
      <c r="D116" s="30"/>
      <c r="K116" s="31"/>
      <c r="L116" s="28"/>
      <c r="M116" s="28"/>
      <c r="N116" s="28"/>
    </row>
    <row r="117" spans="2:14">
      <c r="B117" s="29"/>
      <c r="D117" s="30"/>
      <c r="K117" s="31"/>
      <c r="L117" s="28"/>
      <c r="M117" s="28"/>
      <c r="N117" s="28"/>
    </row>
    <row r="118" spans="2:14">
      <c r="B118" s="29"/>
      <c r="D118" s="30"/>
      <c r="K118" s="31"/>
      <c r="L118" s="28"/>
      <c r="M118" s="28"/>
      <c r="N118" s="28"/>
    </row>
    <row r="119" spans="2:14">
      <c r="B119" s="29"/>
      <c r="D119" s="30"/>
      <c r="K119" s="31"/>
      <c r="L119" s="28"/>
      <c r="M119" s="28"/>
      <c r="N119" s="28"/>
    </row>
    <row r="120" spans="2:14">
      <c r="B120" s="29"/>
      <c r="D120" s="30"/>
      <c r="K120" s="31"/>
      <c r="L120" s="28"/>
      <c r="M120" s="28"/>
      <c r="N120" s="28"/>
    </row>
    <row r="121" spans="2:14">
      <c r="B121" s="29"/>
      <c r="D121" s="30"/>
      <c r="K121" s="31"/>
      <c r="L121" s="28"/>
      <c r="M121" s="28"/>
      <c r="N121" s="28"/>
    </row>
    <row r="122" spans="2:14">
      <c r="B122" s="29"/>
      <c r="D122" s="30"/>
      <c r="K122" s="31"/>
      <c r="L122" s="28"/>
      <c r="M122" s="28"/>
      <c r="N122" s="28"/>
    </row>
    <row r="123" spans="2:14">
      <c r="B123" s="29"/>
      <c r="D123" s="30"/>
      <c r="K123" s="31"/>
      <c r="L123" s="28"/>
      <c r="M123" s="28"/>
      <c r="N123" s="28"/>
    </row>
    <row r="124" spans="2:14">
      <c r="B124" s="29"/>
      <c r="D124" s="30"/>
      <c r="K124" s="31"/>
      <c r="L124" s="28"/>
      <c r="M124" s="28"/>
      <c r="N124" s="28"/>
    </row>
    <row r="125" spans="2:14">
      <c r="B125" s="29"/>
      <c r="D125" s="30"/>
      <c r="K125" s="31"/>
      <c r="L125" s="28"/>
      <c r="M125" s="28"/>
      <c r="N125" s="28"/>
    </row>
    <row r="126" spans="2:14">
      <c r="B126" s="29"/>
      <c r="D126" s="30"/>
      <c r="K126" s="31"/>
      <c r="L126" s="28"/>
      <c r="M126" s="28"/>
      <c r="N126" s="28"/>
    </row>
    <row r="127" spans="2:14">
      <c r="B127" s="29"/>
      <c r="D127" s="30"/>
      <c r="K127" s="31"/>
      <c r="L127" s="28"/>
      <c r="M127" s="28"/>
      <c r="N127" s="28"/>
    </row>
    <row r="128" spans="2:14">
      <c r="B128" s="29"/>
      <c r="D128" s="30"/>
      <c r="K128" s="31"/>
      <c r="L128" s="28"/>
      <c r="M128" s="28"/>
      <c r="N128" s="28"/>
    </row>
    <row r="129" spans="2:14">
      <c r="B129" s="29"/>
      <c r="D129" s="30"/>
      <c r="K129" s="31"/>
      <c r="L129" s="28"/>
      <c r="M129" s="28"/>
      <c r="N129" s="28"/>
    </row>
    <row r="130" spans="2:14">
      <c r="B130" s="29"/>
      <c r="D130" s="30"/>
      <c r="K130" s="31"/>
      <c r="L130" s="28"/>
      <c r="M130" s="28"/>
      <c r="N130" s="28"/>
    </row>
    <row r="131" spans="2:14">
      <c r="B131" s="29"/>
      <c r="D131" s="30"/>
      <c r="K131" s="31"/>
      <c r="L131" s="28"/>
      <c r="M131" s="28"/>
      <c r="N131" s="28"/>
    </row>
    <row r="132" spans="2:14">
      <c r="B132" s="29"/>
      <c r="D132" s="30"/>
      <c r="K132" s="31"/>
      <c r="L132" s="28"/>
      <c r="M132" s="28"/>
      <c r="N132" s="28"/>
    </row>
    <row r="133" spans="2:14">
      <c r="B133" s="29"/>
      <c r="D133" s="30"/>
      <c r="K133" s="31"/>
      <c r="L133" s="28"/>
      <c r="M133" s="28"/>
      <c r="N133" s="28"/>
    </row>
  </sheetData>
  <phoneticPr fontId="1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22B-FB8F-457B-A07E-24AC96DDD76B}">
  <dimension ref="A1:C7"/>
  <sheetViews>
    <sheetView workbookViewId="0"/>
  </sheetViews>
  <sheetFormatPr defaultRowHeight="15"/>
  <sheetData>
    <row r="1" spans="1:3">
      <c r="A1" t="s">
        <v>512</v>
      </c>
      <c r="B1" t="s">
        <v>513</v>
      </c>
      <c r="C1" t="s">
        <v>514</v>
      </c>
    </row>
    <row r="2" spans="1:3">
      <c r="A2" t="s">
        <v>515</v>
      </c>
      <c r="B2" t="s">
        <v>516</v>
      </c>
      <c r="C2" t="s">
        <v>517</v>
      </c>
    </row>
    <row r="3" spans="1:3">
      <c r="A3" t="s">
        <v>518</v>
      </c>
      <c r="B3" t="s">
        <v>519</v>
      </c>
      <c r="C3" t="s">
        <v>520</v>
      </c>
    </row>
    <row r="4" spans="1:3">
      <c r="A4" t="s">
        <v>521</v>
      </c>
      <c r="B4" t="s">
        <v>519</v>
      </c>
      <c r="C4" t="s">
        <v>522</v>
      </c>
    </row>
    <row r="5" spans="1:3">
      <c r="A5" t="s">
        <v>523</v>
      </c>
      <c r="B5" t="s">
        <v>519</v>
      </c>
      <c r="C5" t="s">
        <v>524</v>
      </c>
    </row>
    <row r="6" spans="1:3">
      <c r="A6" t="s">
        <v>525</v>
      </c>
      <c r="B6" t="s">
        <v>516</v>
      </c>
      <c r="C6" t="s">
        <v>526</v>
      </c>
    </row>
    <row r="7" spans="1:3">
      <c r="A7" t="s">
        <v>527</v>
      </c>
      <c r="B7" t="s">
        <v>516</v>
      </c>
      <c r="C7" t="s">
        <v>528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4658da-4356-4929-ad4a-9b98b39d12a4">
      <Terms xmlns="http://schemas.microsoft.com/office/infopath/2007/PartnerControls"/>
    </lcf76f155ced4ddcb4097134ff3c332f>
    <TaxCatchAll xmlns="bb88adfb-813b-41e9-91f1-ca36645fa75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F172EE40D89141A7D3311DF1DDAF09" ma:contentTypeVersion="11" ma:contentTypeDescription="Create a new document." ma:contentTypeScope="" ma:versionID="3f2a9dc86d9de79b360f4e8be4961fdd">
  <xsd:schema xmlns:xsd="http://www.w3.org/2001/XMLSchema" xmlns:xs="http://www.w3.org/2001/XMLSchema" xmlns:p="http://schemas.microsoft.com/office/2006/metadata/properties" xmlns:ns2="ff4658da-4356-4929-ad4a-9b98b39d12a4" xmlns:ns3="bb88adfb-813b-41e9-91f1-ca36645fa75d" targetNamespace="http://schemas.microsoft.com/office/2006/metadata/properties" ma:root="true" ma:fieldsID="0f9cd1a09879cb55338ec6d1d463fa04" ns2:_="" ns3:_="">
    <xsd:import namespace="ff4658da-4356-4929-ad4a-9b98b39d12a4"/>
    <xsd:import namespace="bb88adfb-813b-41e9-91f1-ca36645fa7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4658da-4356-4929-ad4a-9b98b39d12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ad43cd6-e3da-47e7-89a3-ed7562acd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8adfb-813b-41e9-91f1-ca36645fa7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2c3508-a078-45df-ab7f-2b47da6f88b3}" ma:internalName="TaxCatchAll" ma:showField="CatchAllData" ma:web="bb88adfb-813b-41e9-91f1-ca36645fa7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CFA60D-BF07-41BA-BAF6-1D77855F6B7D}"/>
</file>

<file path=customXml/itemProps2.xml><?xml version="1.0" encoding="utf-8"?>
<ds:datastoreItem xmlns:ds="http://schemas.openxmlformats.org/officeDocument/2006/customXml" ds:itemID="{E58128AB-1F55-4E1B-96B0-F66C0D67DEFD}"/>
</file>

<file path=customXml/itemProps3.xml><?xml version="1.0" encoding="utf-8"?>
<ds:datastoreItem xmlns:ds="http://schemas.openxmlformats.org/officeDocument/2006/customXml" ds:itemID="{87F2BE1A-F716-43CF-BB3E-2EFABA2B02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</dc:creator>
  <cp:keywords/>
  <dc:description/>
  <cp:lastModifiedBy>LaiRicky</cp:lastModifiedBy>
  <cp:revision/>
  <dcterms:created xsi:type="dcterms:W3CDTF">2020-09-30T10:36:32Z</dcterms:created>
  <dcterms:modified xsi:type="dcterms:W3CDTF">2026-03-31T17:24:01Z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0x010100EDF172EE40D89141A7D3311DF1DDAF09</vt:lpwstr>
  </property>
  <property fmtid="{D5CDD505-2E9C-101B-9397-08002B2CF9AE}" pid="3" name="MediaServiceImageTags">
    <vt:lpwstr/>
  </property>
</Properties>
</file>